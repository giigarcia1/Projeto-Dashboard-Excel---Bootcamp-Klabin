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iovana.rodrigues\Downloads\"/>
    </mc:Choice>
  </mc:AlternateContent>
  <xr:revisionPtr revIDLastSave="0" documentId="8_{449C22E8-45A4-493D-A993-D2136E594610}" xr6:coauthVersionLast="47" xr6:coauthVersionMax="47" xr10:uidLastSave="{00000000-0000-0000-0000-000000000000}"/>
  <bookViews>
    <workbookView xWindow="-108" yWindow="-108" windowWidth="23256" windowHeight="12456" tabRatio="182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9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3" l="1"/>
  <c r="D21" i="3"/>
</calcChain>
</file>

<file path=xl/sharedStrings.xml><?xml version="1.0" encoding="utf-8"?>
<sst xmlns="http://schemas.openxmlformats.org/spreadsheetml/2006/main" count="2022" uniqueCount="326">
  <si>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</si>
  <si>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</si>
  <si>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</si>
  <si>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</si>
  <si>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</si>
  <si>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</si>
  <si>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</si>
  <si>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</si>
  <si>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</si>
  <si>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</si>
  <si>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</si>
  <si>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</si>
  <si>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</si>
  <si>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</si>
  <si>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</si>
  <si>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</si>
  <si>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</si>
  <si>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</si>
  <si>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</si>
  <si>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</si>
  <si>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</si>
  <si>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</si>
  <si>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</si>
  <si>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</si>
  <si>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</si>
  <si>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</si>
  <si>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</si>
  <si>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</si>
  <si>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</si>
  <si>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</si>
  <si>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</si>
  <si>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</si>
  <si>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</si>
  <si>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</si>
  <si>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</si>
  <si>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</si>
  <si>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</si>
  <si>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</si>
  <si>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</si>
  <si>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</si>
  <si>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</si>
  <si>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</si>
  <si>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</si>
  <si>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</si>
  <si>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</si>
  <si>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</si>
  <si>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</si>
  <si>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</si>
  <si>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</si>
  <si>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</si>
  <si>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</si>
  <si>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</si>
  <si>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</si>
  <si>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</si>
  <si>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</si>
  <si>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</si>
  <si>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</si>
  <si>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</si>
  <si>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</si>
  <si>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</si>
  <si>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</si>
  <si>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</si>
  <si>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</si>
  <si>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</si>
  <si>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</si>
  <si>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</si>
  <si>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</si>
  <si>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</si>
  <si>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</si>
  <si>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</si>
  <si>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</si>
  <si>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</si>
  <si>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</si>
  <si>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</si>
  <si>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</si>
  <si>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</si>
  <si>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</si>
  <si>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</si>
  <si>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</si>
  <si>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</si>
  <si>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</si>
  <si>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</si>
  <si>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</si>
  <si>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</si>
  <si>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</si>
  <si>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</si>
  <si>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</si>
  <si>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</si>
  <si>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</si>
  <si>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</si>
  <si>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</si>
  <si>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</si>
  <si>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</si>
  <si>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</si>
  <si>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</si>
  <si>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</si>
  <si>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</si>
  <si>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</si>
  <si>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</si>
  <si>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</si>
  <si>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</si>
  <si>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</si>
  <si>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</si>
  <si>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</si>
  <si>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</si>
  <si>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</si>
  <si>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</si>
  <si>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</si>
  <si>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</si>
  <si>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</si>
  <si>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</si>
  <si>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</si>
  <si>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</si>
  <si>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</si>
  <si>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</si>
  <si>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</si>
  <si>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</si>
  <si>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</si>
  <si>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</si>
  <si>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</si>
  <si>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</si>
  <si>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</si>
  <si>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</si>
  <si>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</si>
  <si>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</si>
  <si>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</si>
  <si>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</si>
  <si>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</si>
  <si>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</si>
  <si>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</si>
  <si>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</si>
  <si>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</si>
  <si>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</si>
  <si>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</si>
  <si>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</si>
  <si>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</si>
  <si>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</si>
  <si>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</si>
  <si>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</si>
  <si>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</si>
  <si>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</si>
  <si>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</si>
  <si>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</si>
  <si>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</si>
  <si>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</si>
  <si>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</si>
  <si>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</si>
  <si>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</si>
  <si>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</si>
  <si>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</si>
  <si>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</si>
  <si>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</si>
  <si>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</si>
  <si>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</si>
  <si>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</si>
  <si>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</si>
  <si>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</si>
  <si>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</si>
  <si>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</si>
  <si>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</si>
  <si>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</si>
  <si>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</si>
  <si>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</si>
  <si>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</si>
  <si>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</si>
  <si>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</si>
  <si>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</si>
  <si>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</si>
  <si>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</si>
  <si>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</si>
  <si>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</si>
  <si>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</si>
  <si>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</si>
  <si>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</si>
  <si>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</si>
  <si>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</si>
  <si>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</si>
  <si>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</si>
  <si>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</si>
  <si>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</si>
  <si>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</si>
  <si>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</si>
  <si>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</si>
  <si>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</si>
  <si>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</si>
  <si>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</si>
  <si>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</si>
  <si>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</si>
  <si>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</si>
  <si>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</si>
  <si>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</si>
  <si>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</si>
  <si>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</si>
  <si>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</si>
  <si>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</si>
  <si>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</si>
  <si>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</si>
  <si>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</si>
  <si>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</si>
  <si>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</si>
  <si>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</si>
  <si>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</si>
  <si>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</si>
  <si>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</si>
  <si>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</si>
  <si>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</si>
  <si>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</si>
  <si>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</si>
  <si>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</si>
  <si>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</si>
  <si>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</si>
  <si>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</si>
  <si>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</si>
  <si>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</si>
  <si>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</si>
  <si>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</si>
  <si>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</si>
  <si>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</si>
  <si>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</si>
  <si>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</si>
  <si>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</si>
  <si>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</si>
  <si>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</si>
  <si>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</si>
  <si>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</si>
  <si>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</si>
  <si>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</si>
  <si>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</si>
  <si>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</si>
  <si>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</si>
  <si>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</si>
  <si>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</si>
  <si>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</si>
  <si>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</si>
  <si>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</si>
  <si>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</si>
  <si>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</si>
  <si>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</si>
  <si>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</si>
  <si>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</si>
  <si>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</si>
  <si>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</si>
  <si>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</si>
  <si>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</si>
  <si>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</si>
  <si>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</si>
  <si>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</si>
  <si>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</si>
  <si>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</si>
  <si>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</si>
  <si>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</si>
  <si>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</si>
  <si>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</si>
  <si>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</si>
  <si>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</si>
  <si>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</si>
  <si>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</si>
  <si>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</si>
  <si>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</si>
  <si>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</si>
  <si>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</si>
  <si>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</si>
  <si>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</si>
  <si>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</si>
  <si>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</si>
  <si>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</si>
  <si>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</si>
  <si>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</si>
  <si>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</si>
  <si>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</si>
  <si>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</si>
  <si>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</si>
  <si>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</si>
  <si>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</si>
  <si>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</si>
  <si>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</si>
  <si>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</si>
  <si>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</si>
  <si>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</si>
  <si>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</si>
  <si>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</si>
  <si>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</si>
  <si>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</si>
  <si>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</si>
  <si>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</si>
  <si>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</si>
  <si>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</si>
  <si>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</si>
  <si>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</si>
  <si>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</si>
  <si>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</si>
  <si>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</si>
  <si>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</si>
  <si>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</si>
  <si>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</si>
  <si>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</si>
  <si>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</si>
  <si>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</si>
  <si>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</si>
  <si>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</si>
  <si>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</si>
  <si>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</si>
  <si>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</si>
  <si>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</si>
  <si>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</si>
  <si>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</si>
  <si>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</si>
  <si>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</si>
  <si>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</si>
  <si>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</si>
  <si>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</si>
  <si>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</si>
  <si>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</si>
  <si>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 xml:space="preserve"> XBOX GAME PASS SUBSCRIPTIONS SALES</t>
  </si>
  <si>
    <t>1 - Faturamento total de vendas de planos anuais (incluindo todas as assinaturas agregadas)</t>
  </si>
  <si>
    <t>Soma de Total Value</t>
  </si>
  <si>
    <t>Rótulos de Linha</t>
  </si>
  <si>
    <t>(vazio)</t>
  </si>
  <si>
    <t>Total Geral</t>
  </si>
  <si>
    <t>(Tudo)</t>
  </si>
  <si>
    <t>(Vários itens)</t>
  </si>
  <si>
    <t>2 - Faturamento total de vendas de planos anuais (auto renovação e não)</t>
  </si>
  <si>
    <t>Soma de EA Play Season Pass</t>
  </si>
  <si>
    <t>3 - Faturamento total de vendas de assinaturas EA Play</t>
  </si>
  <si>
    <t>4 - Faturamento total de vendas de assinaturas Minecraft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</si>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</sst>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Segoe UI"/>
      <family val="2"/>
    </font>
    <font>
      <b/>
      <sz val="15"/>
      <color theme="3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4" fillId="0" borderId="2" xfId="1" applyFont="1" applyBorder="1" applyAlignment="1">
      <alignment horizontal="left" indent="7"/>
    </xf>
    <xf numFmtId="0" fontId="5" fillId="0" borderId="2" xfId="1" applyFont="1" applyBorder="1"/>
    <xf numFmtId="0" fontId="0" fillId="0" borderId="2" xfId="0" applyBorder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44" fontId="0" fillId="0" borderId="0" xfId="0" applyNumberFormat="1"/>
  </cellXfs>
  <cellStyles count="3">
    <cellStyle name="Moeda" xfId="2" builtinId="4"/>
    <cellStyle name="Normal" xfId="0" builtinId="0"/>
    <cellStyle name="Título 1" xfId="1" builtinId="16"/>
  </cellStyles>
  <dxfs count="24"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numFmt numFmtId="34" formatCode="_-&quot;R$&quot;\ * #,##0.00_-;\-&quot;R$&quot;\ * #,##0.00_-;_-&quot;R$&quot;\ * &quot;-&quot;??_-;_-@_-"/>
    </dxf>
    <dxf>
      <numFmt numFmtId="165" formatCode="&quot;R$&quot;\ #,##0.0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CA554193-859A-4B6B-B192-146A5666FD43}">
      <tableStyleElement type="wholeTable" dxfId="7"/>
      <tableStyleElement type="headerRow" dxfId="6"/>
    </tableStyle>
  </tableStyles>
  <colors>
    <mruColors>
      <color rgb="FF22C55E"/>
      <color rgb="FFE8E6E9"/>
      <color rgb="FF5BF6A8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Vendas Exbox - Bootcamp Klabin.xlsx]C̳álculos!Tabela dinâmica1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</c:pivotFmt>
      <c:pivotFmt>
        <c:idx val="3"/>
        <c:spPr>
          <a:solidFill>
            <a:srgbClr val="22C55E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3.4913614925269065E-2"/>
          <c:y val="9.8606645230439438E-2"/>
          <c:w val="0.95117114155796934"/>
          <c:h val="0.8971061093247588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509-4D87-9B2B-E0BE53A27494}"/>
              </c:ext>
            </c:extLst>
          </c:dPt>
          <c:dPt>
            <c:idx val="1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509-4D87-9B2B-E0BE53A2749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C̳álculos!$A$9:$A$12</c:f>
              <c:strCache>
                <c:ptCount val="3"/>
                <c:pt idx="0">
                  <c:v>No</c:v>
                </c:pt>
                <c:pt idx="1">
                  <c:v>Yes</c:v>
                </c:pt>
                <c:pt idx="2">
                  <c:v>(vazio)</c:v>
                </c:pt>
              </c:strCache>
            </c:strRef>
          </c:cat>
          <c:val>
            <c:numRef>
              <c:f>C̳álculos!$B$9:$B$12</c:f>
              <c:numCache>
                <c:formatCode>"R$"\ #,##0.00</c:formatCode>
                <c:ptCount val="3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09-4D87-9B2B-E0BE53A2749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030021455"/>
        <c:axId val="1030005615"/>
      </c:barChart>
      <c:catAx>
        <c:axId val="1030021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30005615"/>
        <c:crosses val="autoZero"/>
        <c:auto val="1"/>
        <c:lblAlgn val="ctr"/>
        <c:lblOffset val="100"/>
        <c:noMultiLvlLbl val="0"/>
      </c:catAx>
      <c:valAx>
        <c:axId val="1030005615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1030021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image" Target="../media/image7.png"/><Relationship Id="rId7" Type="http://schemas.openxmlformats.org/officeDocument/2006/relationships/chart" Target="../charts/chart1.xml"/><Relationship Id="rId2" Type="http://schemas.openxmlformats.org/officeDocument/2006/relationships/image" Target="../media/image11.png"/><Relationship Id="rId1" Type="http://schemas.openxmlformats.org/officeDocument/2006/relationships/image" Target="../media/image6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7</xdr:row>
      <xdr:rowOff>0</xdr:rowOff>
    </xdr:from>
    <xdr:to>
      <xdr:col>11</xdr:col>
      <xdr:colOff>304800</xdr:colOff>
      <xdr:row>8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304800</xdr:colOff>
      <xdr:row>8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0</xdr:row>
      <xdr:rowOff>123825</xdr:rowOff>
    </xdr:from>
    <xdr:to>
      <xdr:col>0</xdr:col>
      <xdr:colOff>1390650</xdr:colOff>
      <xdr:row>5</xdr:row>
      <xdr:rowOff>57150</xdr:rowOff>
    </xdr:to>
    <xdr:sp macro="" textlink="">
      <xdr:nvSpPr>
        <xdr:cNvPr id="18" name="Elipse 17">
          <a:extLst>
            <a:ext uri="{FF2B5EF4-FFF2-40B4-BE49-F238E27FC236}">
              <a16:creationId xmlns:a16="http://schemas.microsoft.com/office/drawing/2014/main" id="{8E2F71C6-E87B-412A-8E2D-C5D3409FD256}"/>
            </a:ext>
          </a:extLst>
        </xdr:cNvPr>
        <xdr:cNvSpPr/>
      </xdr:nvSpPr>
      <xdr:spPr>
        <a:xfrm>
          <a:off x="333375" y="123825"/>
          <a:ext cx="1057275" cy="933450"/>
        </a:xfrm>
        <a:prstGeom prst="ellipse">
          <a:avLst/>
        </a:prstGeom>
        <a:blipFill>
          <a:blip xmlns:r="http://schemas.openxmlformats.org/officeDocument/2006/relationships" r:embed="rId1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190500</xdr:colOff>
      <xdr:row>6</xdr:row>
      <xdr:rowOff>28575</xdr:rowOff>
    </xdr:from>
    <xdr:to>
      <xdr:col>0</xdr:col>
      <xdr:colOff>1774644</xdr:colOff>
      <xdr:row>6</xdr:row>
      <xdr:rowOff>254165</xdr:rowOff>
    </xdr:to>
    <xdr:sp macro="" textlink="">
      <xdr:nvSpPr>
        <xdr:cNvPr id="19" name="Retângulo 18">
          <a:extLst>
            <a:ext uri="{FF2B5EF4-FFF2-40B4-BE49-F238E27FC236}">
              <a16:creationId xmlns:a16="http://schemas.microsoft.com/office/drawing/2014/main" id="{23E5D7B7-F3C3-4D7B-8A82-D2C370D12399}"/>
            </a:ext>
          </a:extLst>
        </xdr:cNvPr>
        <xdr:cNvSpPr/>
      </xdr:nvSpPr>
      <xdr:spPr>
        <a:xfrm>
          <a:off x="190500" y="1152525"/>
          <a:ext cx="1584144" cy="22559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vindo, George</a:t>
          </a:r>
        </a:p>
      </xdr:txBody>
    </xdr:sp>
    <xdr:clientData/>
  </xdr:twoCellAnchor>
  <xdr:twoCellAnchor editAs="absolute">
    <xdr:from>
      <xdr:col>1</xdr:col>
      <xdr:colOff>95250</xdr:colOff>
      <xdr:row>0</xdr:row>
      <xdr:rowOff>123825</xdr:rowOff>
    </xdr:from>
    <xdr:to>
      <xdr:col>2</xdr:col>
      <xdr:colOff>522755</xdr:colOff>
      <xdr:row>4</xdr:row>
      <xdr:rowOff>45242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290BE38A-15DD-4677-899B-B8380CE541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81200" y="123825"/>
          <a:ext cx="675155" cy="788192"/>
        </a:xfrm>
        <a:prstGeom prst="rect">
          <a:avLst/>
        </a:prstGeom>
      </xdr:spPr>
    </xdr:pic>
    <xdr:clientData/>
  </xdr:twoCellAnchor>
  <xdr:twoCellAnchor editAs="absolute">
    <xdr:from>
      <xdr:col>1</xdr:col>
      <xdr:colOff>219075</xdr:colOff>
      <xdr:row>4</xdr:row>
      <xdr:rowOff>104775</xdr:rowOff>
    </xdr:from>
    <xdr:to>
      <xdr:col>9</xdr:col>
      <xdr:colOff>324684</xdr:colOff>
      <xdr:row>6</xdr:row>
      <xdr:rowOff>77000</xdr:rowOff>
    </xdr:to>
    <xdr:sp macro="" textlink="">
      <xdr:nvSpPr>
        <xdr:cNvPr id="22" name="Retângulo 21">
          <a:extLst>
            <a:ext uri="{FF2B5EF4-FFF2-40B4-BE49-F238E27FC236}">
              <a16:creationId xmlns:a16="http://schemas.microsoft.com/office/drawing/2014/main" id="{9C86D1E1-5F5A-47AD-943A-D67E8122A802}"/>
            </a:ext>
          </a:extLst>
        </xdr:cNvPr>
        <xdr:cNvSpPr/>
      </xdr:nvSpPr>
      <xdr:spPr>
        <a:xfrm>
          <a:off x="2105025" y="971550"/>
          <a:ext cx="4620459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  <xdr:twoCellAnchor editAs="absolute">
    <xdr:from>
      <xdr:col>2</xdr:col>
      <xdr:colOff>171450</xdr:colOff>
      <xdr:row>6</xdr:row>
      <xdr:rowOff>390525</xdr:rowOff>
    </xdr:from>
    <xdr:to>
      <xdr:col>9</xdr:col>
      <xdr:colOff>589598</xdr:colOff>
      <xdr:row>15</xdr:row>
      <xdr:rowOff>110014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5243E383-1FB8-4872-B13F-670453B30429}"/>
            </a:ext>
          </a:extLst>
        </xdr:cNvPr>
        <xdr:cNvGrpSpPr/>
      </xdr:nvGrpSpPr>
      <xdr:grpSpPr>
        <a:xfrm>
          <a:off x="2305050" y="1514475"/>
          <a:ext cx="4685348" cy="1586389"/>
          <a:chOff x="2095500" y="1143000"/>
          <a:chExt cx="4655344" cy="1647825"/>
        </a:xfrm>
      </xdr:grpSpPr>
      <xdr:sp macro="" textlink="">
        <xdr:nvSpPr>
          <xdr:cNvPr id="29" name="Retângulo: Cantos Arredondados 28">
            <a:extLst>
              <a:ext uri="{FF2B5EF4-FFF2-40B4-BE49-F238E27FC236}">
                <a16:creationId xmlns:a16="http://schemas.microsoft.com/office/drawing/2014/main" id="{E731C602-7496-9C82-447C-5ACC80555ECE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D21">
        <xdr:nvSpPr>
          <xdr:cNvPr id="30" name="Retângulo: Cantos Arredondados 29">
            <a:extLst>
              <a:ext uri="{FF2B5EF4-FFF2-40B4-BE49-F238E27FC236}">
                <a16:creationId xmlns:a16="http://schemas.microsoft.com/office/drawing/2014/main" id="{238EDB43-ACA9-E795-F72D-3F2DF68BE517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25BBDFE7-967B-40DE-A5DF-7B6B047F3311}" type="TxLink">
              <a:rPr lang="en-US" sz="3600" b="1" i="0" u="none" strike="noStrike" kern="1200">
                <a:solidFill>
                  <a:srgbClr val="22C55E"/>
                </a:solidFill>
                <a:latin typeface="Aptos Narrow"/>
              </a:rPr>
              <a:t> R$ 2.940,00 </a:t>
            </a:fld>
            <a:endParaRPr lang="pt-BR" sz="3600" b="1" kern="1200">
              <a:solidFill>
                <a:srgbClr val="22C55E"/>
              </a:solidFill>
            </a:endParaRPr>
          </a:p>
        </xdr:txBody>
      </xdr:sp>
      <xdr:pic>
        <xdr:nvPicPr>
          <xdr:cNvPr id="31" name="Imagem 30">
            <a:extLst>
              <a:ext uri="{FF2B5EF4-FFF2-40B4-BE49-F238E27FC236}">
                <a16:creationId xmlns:a16="http://schemas.microsoft.com/office/drawing/2014/main" id="{5CE98516-7BF2-474A-0939-2A57C623995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32" name="Retângulo: Cantos Superiores Arredondados 31">
            <a:extLst>
              <a:ext uri="{FF2B5EF4-FFF2-40B4-BE49-F238E27FC236}">
                <a16:creationId xmlns:a16="http://schemas.microsoft.com/office/drawing/2014/main" id="{77B42AF9-54FA-117D-1DDB-3B3CA5F695B8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295275</xdr:colOff>
      <xdr:row>6</xdr:row>
      <xdr:rowOff>371475</xdr:rowOff>
    </xdr:from>
    <xdr:to>
      <xdr:col>19</xdr:col>
      <xdr:colOff>0</xdr:colOff>
      <xdr:row>15</xdr:row>
      <xdr:rowOff>14764</xdr:rowOff>
    </xdr:to>
    <xdr:grpSp>
      <xdr:nvGrpSpPr>
        <xdr:cNvPr id="33" name="Agrupar 32">
          <a:extLst>
            <a:ext uri="{FF2B5EF4-FFF2-40B4-BE49-F238E27FC236}">
              <a16:creationId xmlns:a16="http://schemas.microsoft.com/office/drawing/2014/main" id="{71A3E9B9-8BAC-4FBC-A5D6-AD100D09C919}"/>
            </a:ext>
          </a:extLst>
        </xdr:cNvPr>
        <xdr:cNvGrpSpPr/>
      </xdr:nvGrpSpPr>
      <xdr:grpSpPr>
        <a:xfrm>
          <a:off x="7915275" y="1495425"/>
          <a:ext cx="4419600" cy="1510189"/>
          <a:chOff x="7534275" y="1247775"/>
          <a:chExt cx="4655344" cy="1571625"/>
        </a:xfrm>
      </xdr:grpSpPr>
      <xdr:grpSp>
        <xdr:nvGrpSpPr>
          <xdr:cNvPr id="34" name="Agrupar 33">
            <a:extLst>
              <a:ext uri="{FF2B5EF4-FFF2-40B4-BE49-F238E27FC236}">
                <a16:creationId xmlns:a16="http://schemas.microsoft.com/office/drawing/2014/main" id="{7AB80A50-D05A-D5C3-C54D-69CAF9C1AC46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38" name="Retângulo: Cantos Arredondados 37">
              <a:extLst>
                <a:ext uri="{FF2B5EF4-FFF2-40B4-BE49-F238E27FC236}">
                  <a16:creationId xmlns:a16="http://schemas.microsoft.com/office/drawing/2014/main" id="{92DD7BB4-C041-52E7-6C90-B3F272B5B0CA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>
                <a:solidFill>
                  <a:srgbClr val="22C55E"/>
                </a:solidFill>
              </a:endParaRPr>
            </a:p>
          </xdr:txBody>
        </xdr:sp>
        <xdr:sp macro="" textlink="C̳álculos!D30">
          <xdr:nvSpPr>
            <xdr:cNvPr id="39" name="Retângulo: Cantos Arredondados 38">
              <a:extLst>
                <a:ext uri="{FF2B5EF4-FFF2-40B4-BE49-F238E27FC236}">
                  <a16:creationId xmlns:a16="http://schemas.microsoft.com/office/drawing/2014/main" id="{84C5A6D0-93A7-BEB8-56F1-B9B60B3463D8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2BBAFE64-F87B-4CFB-92B5-01285B41EF43}" type="TxLink">
                <a:rPr lang="en-US" sz="3600" b="1" i="0" u="none" strike="noStrike" kern="1200">
                  <a:solidFill>
                    <a:srgbClr val="22C55E"/>
                  </a:solidFill>
                  <a:latin typeface="Aptos Narrow"/>
                </a:rPr>
                <a:t> R$ 3.880,00 </a:t>
              </a:fld>
              <a:endParaRPr lang="pt-BR" sz="3600" b="1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40" name="Retângulo: Cantos Superiores Arredondados 39">
              <a:extLst>
                <a:ext uri="{FF2B5EF4-FFF2-40B4-BE49-F238E27FC236}">
                  <a16:creationId xmlns:a16="http://schemas.microsoft.com/office/drawing/2014/main" id="{A4ADA8A5-ED81-669D-9A34-5B262BEC974D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35" name="Agrupar 34">
            <a:extLst>
              <a:ext uri="{FF2B5EF4-FFF2-40B4-BE49-F238E27FC236}">
                <a16:creationId xmlns:a16="http://schemas.microsoft.com/office/drawing/2014/main" id="{D21B5EC1-FF29-00AD-CD2E-0703FE58CEBF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36" name="Imagem 35">
              <a:extLst>
                <a:ext uri="{FF2B5EF4-FFF2-40B4-BE49-F238E27FC236}">
                  <a16:creationId xmlns:a16="http://schemas.microsoft.com/office/drawing/2014/main" id="{34C08816-2A08-27B6-7D85-AC8E9AC5B85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37" name="Gráfico 36">
              <a:extLst>
                <a:ext uri="{FF2B5EF4-FFF2-40B4-BE49-F238E27FC236}">
                  <a16:creationId xmlns:a16="http://schemas.microsoft.com/office/drawing/2014/main" id="{00C4675C-CDC5-6A58-0B45-49ECD8E0F67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152400</xdr:colOff>
      <xdr:row>17</xdr:row>
      <xdr:rowOff>133350</xdr:rowOff>
    </xdr:from>
    <xdr:to>
      <xdr:col>19</xdr:col>
      <xdr:colOff>0</xdr:colOff>
      <xdr:row>35</xdr:row>
      <xdr:rowOff>8096</xdr:rowOff>
    </xdr:to>
    <xdr:grpSp>
      <xdr:nvGrpSpPr>
        <xdr:cNvPr id="41" name="Agrupar 40">
          <a:extLst>
            <a:ext uri="{FF2B5EF4-FFF2-40B4-BE49-F238E27FC236}">
              <a16:creationId xmlns:a16="http://schemas.microsoft.com/office/drawing/2014/main" id="{721226F9-2DE9-4BE8-BE38-EE4882894468}"/>
            </a:ext>
          </a:extLst>
        </xdr:cNvPr>
        <xdr:cNvGrpSpPr/>
      </xdr:nvGrpSpPr>
      <xdr:grpSpPr>
        <a:xfrm>
          <a:off x="2286000" y="3486150"/>
          <a:ext cx="10048875" cy="3132296"/>
          <a:chOff x="2083594" y="3178969"/>
          <a:chExt cx="10298906" cy="3298031"/>
        </a:xfrm>
      </xdr:grpSpPr>
      <xdr:grpSp>
        <xdr:nvGrpSpPr>
          <xdr:cNvPr id="42" name="Agrupar 41">
            <a:extLst>
              <a:ext uri="{FF2B5EF4-FFF2-40B4-BE49-F238E27FC236}">
                <a16:creationId xmlns:a16="http://schemas.microsoft.com/office/drawing/2014/main" id="{BC8D82B2-BB8D-0BA0-3F4E-A3BAE67838DF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44" name="Retângulo: Cantos Arredondados 43">
              <a:extLst>
                <a:ext uri="{FF2B5EF4-FFF2-40B4-BE49-F238E27FC236}">
                  <a16:creationId xmlns:a16="http://schemas.microsoft.com/office/drawing/2014/main" id="{29ADFF46-169C-4C35-BB87-C6F97C815C4C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45" name="Gráfico 44">
              <a:extLst>
                <a:ext uri="{FF2B5EF4-FFF2-40B4-BE49-F238E27FC236}">
                  <a16:creationId xmlns:a16="http://schemas.microsoft.com/office/drawing/2014/main" id="{B5DDB715-1BB9-FDCF-A333-F0913B56FCB3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7"/>
            </a:graphicData>
          </a:graphic>
        </xdr:graphicFrame>
      </xdr:grpSp>
      <xdr:sp macro="" textlink="">
        <xdr:nvSpPr>
          <xdr:cNvPr id="43" name="Retângulo: Cantos Superiores Arredondados 42">
            <a:extLst>
              <a:ext uri="{FF2B5EF4-FFF2-40B4-BE49-F238E27FC236}">
                <a16:creationId xmlns:a16="http://schemas.microsoft.com/office/drawing/2014/main" id="{D77389B6-05EE-CF5F-47E9-924C6BCAF58A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2</xdr:col>
      <xdr:colOff>438149</xdr:colOff>
      <xdr:row>18</xdr:row>
      <xdr:rowOff>114299</xdr:rowOff>
    </xdr:from>
    <xdr:to>
      <xdr:col>18</xdr:col>
      <xdr:colOff>590549</xdr:colOff>
      <xdr:row>34</xdr:row>
      <xdr:rowOff>180974</xdr:rowOff>
    </xdr:to>
    <xdr:graphicFrame macro="">
      <xdr:nvGraphicFramePr>
        <xdr:cNvPr id="46" name="Gráfico 2">
          <a:extLst>
            <a:ext uri="{FF2B5EF4-FFF2-40B4-BE49-F238E27FC236}">
              <a16:creationId xmlns:a16="http://schemas.microsoft.com/office/drawing/2014/main" id="{74D52EB7-86F7-95D8-B91A-581C107009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0</xdr:colOff>
      <xdr:row>7</xdr:row>
      <xdr:rowOff>116205</xdr:rowOff>
    </xdr:from>
    <xdr:to>
      <xdr:col>0</xdr:col>
      <xdr:colOff>1828800</xdr:colOff>
      <xdr:row>17</xdr:row>
      <xdr:rowOff>133350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8" name="Subscription Type">
              <a:extLst>
                <a:ext uri="{FF2B5EF4-FFF2-40B4-BE49-F238E27FC236}">
                  <a16:creationId xmlns:a16="http://schemas.microsoft.com/office/drawing/2014/main" id="{FB3626AC-EB5A-273D-A3B5-B4AE9B652A7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659255"/>
              <a:ext cx="1828800" cy="18268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ovana Garcia Rodrigues" refreshedDate="46085.429735995371" createdVersion="8" refreshedVersion="8" minRefreshableVersion="3" recordCount="296" xr:uid="{563FE1A5-6109-46A8-98F0-CE438246FF2C}">
  <cacheSource type="worksheet">
    <worksheetSource ref="A1:M1048576" sheet="B̳ases"/>
  </cacheSource>
  <cacheFields count="13">
    <cacheField name="Subscriber ID" numFmtId="0">
      <sharedItems containsString="0" containsBlank="1" containsNumber="1" containsInteger="1" minValue="3231" maxValue="3525"/>
    </cacheField>
    <cacheField name="Name" numFmtId="0">
      <sharedItems containsBlank="1"/>
    </cacheField>
    <cacheField name="Plan" numFmtId="0">
      <sharedItems containsBlank="1" count="4">
        <s v="Ultimate"/>
        <s v="Core"/>
        <s v="Standard"/>
        <m/>
      </sharedItems>
    </cacheField>
    <cacheField name="Start Date" numFmtId="0">
      <sharedItems containsNonDate="0" containsDate="1" containsString="0" containsBlank="1" minDate="2024-01-01T00:00:00" maxDate="2024-12-17T00:00:00"/>
    </cacheField>
    <cacheField name="Auto Renewal" numFmtId="0">
      <sharedItems containsBlank="1" count="3">
        <s v="Yes"/>
        <s v="No"/>
        <m/>
      </sharedItems>
    </cacheField>
    <cacheField name="Subscription Price" numFmtId="0">
      <sharedItems containsString="0" containsBlank="1" containsNumber="1" containsInteger="1" minValue="5" maxValue="15"/>
    </cacheField>
    <cacheField name="Subscription Type" numFmtId="0">
      <sharedItems containsBlank="1" count="4">
        <s v="Monthly"/>
        <s v="Annual"/>
        <s v="Quarterly"/>
        <m/>
      </sharedItems>
    </cacheField>
    <cacheField name="EA Play Season Pass" numFmtId="0">
      <sharedItems containsBlank="1"/>
    </cacheField>
    <cacheField name="EA Play Season Pass_x000a_Price" numFmtId="0">
      <sharedItems containsBlank="1" containsMixedTypes="1" containsNumber="1" containsInteger="1" minValue="30" maxValue="30" count="3">
        <n v="30"/>
        <s v="-"/>
        <m/>
      </sharedItems>
    </cacheField>
    <cacheField name="Minecraft Season Pass" numFmtId="0">
      <sharedItems containsBlank="1"/>
    </cacheField>
    <cacheField name="Minecraft Season Pass Price" numFmtId="0">
      <sharedItems containsString="0" containsBlank="1" containsNumber="1" containsInteger="1" minValue="0" maxValue="20"/>
    </cacheField>
    <cacheField name="Coupon Value" numFmtId="0">
      <sharedItems containsString="0" containsBlank="1" containsNumber="1" containsInteger="1" minValue="0" maxValue="20"/>
    </cacheField>
    <cacheField name="Total Value" numFmtId="0">
      <sharedItems containsString="0" containsBlank="1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50169011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6">
  <r>
    <n v="3231"/>
    <s v="João Silva"/>
    <x v="0"/>
    <d v="2024-01-01T00:00:00"/>
    <x v="0"/>
    <n v="15"/>
    <x v="0"/>
    <s v="Yes"/>
    <x v="0"/>
    <s v="Yes"/>
    <n v="20"/>
    <n v="5"/>
    <n v="60"/>
  </r>
  <r>
    <n v="3232"/>
    <s v="Maria Oliveira"/>
    <x v="1"/>
    <d v="2024-01-15T00:00:00"/>
    <x v="1"/>
    <n v="5"/>
    <x v="1"/>
    <s v="No"/>
    <x v="1"/>
    <s v="No"/>
    <n v="0"/>
    <n v="0"/>
    <n v="5"/>
  </r>
  <r>
    <n v="3233"/>
    <s v="Lucas Fernandes"/>
    <x v="2"/>
    <d v="2024-02-10T00:00:00"/>
    <x v="0"/>
    <n v="10"/>
    <x v="2"/>
    <s v="No"/>
    <x v="1"/>
    <s v="Yes"/>
    <n v="20"/>
    <n v="10"/>
    <n v="20"/>
  </r>
  <r>
    <n v="3234"/>
    <s v="Ana Souza"/>
    <x v="0"/>
    <d v="2024-02-20T00:00:00"/>
    <x v="1"/>
    <n v="15"/>
    <x v="0"/>
    <s v="Yes"/>
    <x v="0"/>
    <s v="Yes"/>
    <n v="20"/>
    <n v="3"/>
    <n v="62"/>
  </r>
  <r>
    <n v="3235"/>
    <s v="Pedro Gonçalves"/>
    <x v="1"/>
    <d v="2024-03-05T00:00:00"/>
    <x v="0"/>
    <n v="5"/>
    <x v="0"/>
    <s v="No"/>
    <x v="1"/>
    <s v="No"/>
    <n v="0"/>
    <n v="1"/>
    <n v="4"/>
  </r>
  <r>
    <n v="3236"/>
    <s v="Felipe Costa"/>
    <x v="2"/>
    <d v="2024-03-02T00:00:00"/>
    <x v="1"/>
    <n v="10"/>
    <x v="0"/>
    <s v="No"/>
    <x v="1"/>
    <s v="Yes"/>
    <n v="20"/>
    <n v="2"/>
    <n v="28"/>
  </r>
  <r>
    <n v="3237"/>
    <s v="Camila Ribeiro"/>
    <x v="0"/>
    <d v="2024-03-03T00:00:00"/>
    <x v="0"/>
    <n v="15"/>
    <x v="2"/>
    <s v="Yes"/>
    <x v="0"/>
    <s v="Yes"/>
    <n v="20"/>
    <n v="10"/>
    <n v="55"/>
  </r>
  <r>
    <n v="3238"/>
    <s v="André Mendes"/>
    <x v="1"/>
    <d v="2024-03-04T00:00:00"/>
    <x v="0"/>
    <n v="5"/>
    <x v="1"/>
    <s v="No"/>
    <x v="1"/>
    <s v="No"/>
    <n v="0"/>
    <n v="0"/>
    <n v="5"/>
  </r>
  <r>
    <n v="3239"/>
    <s v="Sofia Almeida"/>
    <x v="0"/>
    <d v="2024-03-05T00:00:00"/>
    <x v="1"/>
    <n v="15"/>
    <x v="0"/>
    <s v="Yes"/>
    <x v="0"/>
    <s v="Yes"/>
    <n v="20"/>
    <n v="5"/>
    <n v="60"/>
  </r>
  <r>
    <n v="3240"/>
    <s v="Bruno Martins"/>
    <x v="2"/>
    <d v="2024-03-06T00:00:00"/>
    <x v="0"/>
    <n v="10"/>
    <x v="2"/>
    <s v="No"/>
    <x v="1"/>
    <s v="Yes"/>
    <n v="20"/>
    <n v="15"/>
    <n v="15"/>
  </r>
  <r>
    <n v="3241"/>
    <s v="Rita Castro"/>
    <x v="1"/>
    <d v="2024-03-07T00:00:00"/>
    <x v="1"/>
    <n v="5"/>
    <x v="0"/>
    <s v="No"/>
    <x v="1"/>
    <s v="No"/>
    <n v="0"/>
    <n v="1"/>
    <n v="4"/>
  </r>
  <r>
    <n v="3242"/>
    <s v="Marco Túlio"/>
    <x v="0"/>
    <d v="2024-03-08T00:00:00"/>
    <x v="0"/>
    <n v="15"/>
    <x v="1"/>
    <s v="Yes"/>
    <x v="0"/>
    <s v="Yes"/>
    <n v="20"/>
    <n v="20"/>
    <n v="45"/>
  </r>
  <r>
    <n v="3243"/>
    <s v="Lívia Silveira"/>
    <x v="2"/>
    <d v="2024-03-09T00:00:00"/>
    <x v="1"/>
    <n v="10"/>
    <x v="0"/>
    <s v="No"/>
    <x v="1"/>
    <s v="Yes"/>
    <n v="20"/>
    <n v="10"/>
    <n v="20"/>
  </r>
  <r>
    <n v="3244"/>
    <s v="Diogo Sousa"/>
    <x v="1"/>
    <d v="2024-03-10T00:00:00"/>
    <x v="0"/>
    <n v="5"/>
    <x v="2"/>
    <s v="No"/>
    <x v="1"/>
    <s v="No"/>
    <n v="0"/>
    <n v="0"/>
    <n v="5"/>
  </r>
  <r>
    <n v="3245"/>
    <s v="Fernanda Lima"/>
    <x v="0"/>
    <d v="2024-03-11T00:00:00"/>
    <x v="1"/>
    <n v="15"/>
    <x v="0"/>
    <s v="Yes"/>
    <x v="0"/>
    <s v="Yes"/>
    <n v="20"/>
    <n v="8"/>
    <n v="57"/>
  </r>
  <r>
    <n v="3246"/>
    <s v="Caio Pereira"/>
    <x v="2"/>
    <d v="2024-03-12T00:00:00"/>
    <x v="0"/>
    <n v="10"/>
    <x v="1"/>
    <s v="No"/>
    <x v="1"/>
    <s v="Yes"/>
    <n v="20"/>
    <n v="12"/>
    <n v="18"/>
  </r>
  <r>
    <n v="3247"/>
    <s v="Beatriz Gomes"/>
    <x v="1"/>
    <d v="2024-03-13T00:00:00"/>
    <x v="1"/>
    <n v="5"/>
    <x v="0"/>
    <s v="No"/>
    <x v="1"/>
    <s v="No"/>
    <n v="0"/>
    <n v="2"/>
    <n v="3"/>
  </r>
  <r>
    <n v="3248"/>
    <s v="Cesar Oliveira"/>
    <x v="0"/>
    <d v="2024-03-14T00:00:00"/>
    <x v="0"/>
    <n v="15"/>
    <x v="2"/>
    <s v="Yes"/>
    <x v="0"/>
    <s v="Yes"/>
    <n v="20"/>
    <n v="7"/>
    <n v="58"/>
  </r>
  <r>
    <n v="3249"/>
    <s v="Débora Machado"/>
    <x v="2"/>
    <d v="2024-03-15T00:00:00"/>
    <x v="1"/>
    <n v="10"/>
    <x v="0"/>
    <s v="No"/>
    <x v="1"/>
    <s v="Yes"/>
    <n v="20"/>
    <n v="5"/>
    <n v="25"/>
  </r>
  <r>
    <n v="3250"/>
    <s v="Eduardo Vargas"/>
    <x v="1"/>
    <d v="2024-03-16T00:00:00"/>
    <x v="0"/>
    <n v="5"/>
    <x v="1"/>
    <s v="No"/>
    <x v="1"/>
    <s v="No"/>
    <n v="0"/>
    <n v="0"/>
    <n v="5"/>
  </r>
  <r>
    <n v="3251"/>
    <s v="Gabriela Santos"/>
    <x v="0"/>
    <d v="2024-03-17T00:00:00"/>
    <x v="1"/>
    <n v="15"/>
    <x v="0"/>
    <s v="Yes"/>
    <x v="0"/>
    <s v="Yes"/>
    <n v="20"/>
    <n v="3"/>
    <n v="62"/>
  </r>
  <r>
    <n v="3252"/>
    <s v="Henrique Dias"/>
    <x v="2"/>
    <d v="2024-03-18T00:00:00"/>
    <x v="0"/>
    <n v="10"/>
    <x v="2"/>
    <s v="No"/>
    <x v="1"/>
    <s v="Yes"/>
    <n v="20"/>
    <n v="15"/>
    <n v="15"/>
  </r>
  <r>
    <n v="3253"/>
    <s v="Isabela Moreira"/>
    <x v="1"/>
    <d v="2024-03-19T00:00:00"/>
    <x v="1"/>
    <n v="5"/>
    <x v="0"/>
    <s v="No"/>
    <x v="1"/>
    <s v="No"/>
    <n v="0"/>
    <n v="1"/>
    <n v="4"/>
  </r>
  <r>
    <n v="3254"/>
    <s v="Joaquim Barbosa"/>
    <x v="0"/>
    <d v="2024-03-20T00:00:00"/>
    <x v="0"/>
    <n v="15"/>
    <x v="1"/>
    <s v="Yes"/>
    <x v="0"/>
    <s v="Yes"/>
    <n v="20"/>
    <n v="20"/>
    <n v="45"/>
  </r>
  <r>
    <n v="3255"/>
    <s v="Lara Rocha"/>
    <x v="2"/>
    <d v="2024-03-21T00:00:00"/>
    <x v="1"/>
    <n v="10"/>
    <x v="0"/>
    <s v="No"/>
    <x v="1"/>
    <s v="Yes"/>
    <n v="20"/>
    <n v="10"/>
    <n v="20"/>
  </r>
  <r>
    <n v="3256"/>
    <s v="Matheus Silva"/>
    <x v="1"/>
    <d v="2024-03-22T00:00:00"/>
    <x v="0"/>
    <n v="5"/>
    <x v="2"/>
    <s v="No"/>
    <x v="1"/>
    <s v="No"/>
    <n v="0"/>
    <n v="0"/>
    <n v="5"/>
  </r>
  <r>
    <n v="3257"/>
    <s v="Nicole Costa"/>
    <x v="0"/>
    <d v="2024-03-23T00:00:00"/>
    <x v="1"/>
    <n v="15"/>
    <x v="0"/>
    <s v="Yes"/>
    <x v="0"/>
    <s v="Yes"/>
    <n v="20"/>
    <n v="5"/>
    <n v="60"/>
  </r>
  <r>
    <n v="3258"/>
    <s v="Otávio Mendonça"/>
    <x v="2"/>
    <d v="2024-03-24T00:00:00"/>
    <x v="0"/>
    <n v="10"/>
    <x v="1"/>
    <s v="No"/>
    <x v="1"/>
    <s v="Yes"/>
    <n v="20"/>
    <n v="15"/>
    <n v="15"/>
  </r>
  <r>
    <n v="3259"/>
    <s v="Paula Ferreira"/>
    <x v="1"/>
    <d v="2024-03-25T00:00:00"/>
    <x v="1"/>
    <n v="5"/>
    <x v="0"/>
    <s v="No"/>
    <x v="1"/>
    <s v="No"/>
    <n v="0"/>
    <n v="1"/>
    <n v="4"/>
  </r>
  <r>
    <n v="3260"/>
    <s v="Raquel Alves"/>
    <x v="0"/>
    <d v="2024-03-26T00:00:00"/>
    <x v="0"/>
    <n v="15"/>
    <x v="2"/>
    <s v="Yes"/>
    <x v="0"/>
    <s v="Yes"/>
    <n v="20"/>
    <n v="7"/>
    <n v="58"/>
  </r>
  <r>
    <n v="3261"/>
    <s v="Samuel Pires"/>
    <x v="2"/>
    <d v="2024-03-27T00:00:00"/>
    <x v="1"/>
    <n v="10"/>
    <x v="0"/>
    <s v="No"/>
    <x v="1"/>
    <s v="Yes"/>
    <n v="20"/>
    <n v="10"/>
    <n v="20"/>
  </r>
  <r>
    <n v="3262"/>
    <s v="Tânia Barros"/>
    <x v="1"/>
    <d v="2024-03-28T00:00:00"/>
    <x v="0"/>
    <n v="5"/>
    <x v="1"/>
    <s v="No"/>
    <x v="1"/>
    <s v="No"/>
    <n v="0"/>
    <n v="0"/>
    <n v="5"/>
  </r>
  <r>
    <n v="3263"/>
    <s v="Vinicius Lima"/>
    <x v="0"/>
    <d v="2024-03-29T00:00:00"/>
    <x v="1"/>
    <n v="15"/>
    <x v="0"/>
    <s v="Yes"/>
    <x v="0"/>
    <s v="Yes"/>
    <n v="20"/>
    <n v="3"/>
    <n v="62"/>
  </r>
  <r>
    <n v="3264"/>
    <s v="Yasmin Teixeira"/>
    <x v="2"/>
    <d v="2024-03-30T00:00:00"/>
    <x v="0"/>
    <n v="10"/>
    <x v="2"/>
    <s v="No"/>
    <x v="1"/>
    <s v="Yes"/>
    <n v="20"/>
    <n v="15"/>
    <n v="15"/>
  </r>
  <r>
    <n v="3265"/>
    <s v="Zé Carlos"/>
    <x v="1"/>
    <d v="2024-03-31T00:00:00"/>
    <x v="1"/>
    <n v="5"/>
    <x v="0"/>
    <s v="No"/>
    <x v="1"/>
    <s v="No"/>
    <n v="0"/>
    <n v="1"/>
    <n v="4"/>
  </r>
  <r>
    <n v="3266"/>
    <s v="Amanda Nogueira"/>
    <x v="1"/>
    <d v="2024-04-01T00:00:00"/>
    <x v="0"/>
    <n v="5"/>
    <x v="0"/>
    <s v="No"/>
    <x v="1"/>
    <s v="No"/>
    <n v="0"/>
    <n v="0"/>
    <n v="5"/>
  </r>
  <r>
    <n v="3267"/>
    <s v="Bruno Cavalheiro"/>
    <x v="0"/>
    <d v="2024-04-02T00:00:00"/>
    <x v="1"/>
    <n v="15"/>
    <x v="2"/>
    <s v="Yes"/>
    <x v="0"/>
    <s v="Yes"/>
    <n v="20"/>
    <n v="7"/>
    <n v="58"/>
  </r>
  <r>
    <n v="3268"/>
    <s v="Carla Dias"/>
    <x v="2"/>
    <d v="2024-04-03T00:00:00"/>
    <x v="0"/>
    <n v="10"/>
    <x v="1"/>
    <s v="No"/>
    <x v="1"/>
    <s v="Yes"/>
    <n v="20"/>
    <n v="10"/>
    <n v="20"/>
  </r>
  <r>
    <n v="3269"/>
    <s v="Diego Fontes"/>
    <x v="1"/>
    <d v="2024-04-04T00:00:00"/>
    <x v="1"/>
    <n v="5"/>
    <x v="2"/>
    <s v="No"/>
    <x v="1"/>
    <s v="No"/>
    <n v="0"/>
    <n v="1"/>
    <n v="4"/>
  </r>
  <r>
    <n v="3270"/>
    <s v="Eunice Lima"/>
    <x v="0"/>
    <d v="2024-04-05T00:00:00"/>
    <x v="0"/>
    <n v="15"/>
    <x v="0"/>
    <s v="Yes"/>
    <x v="0"/>
    <s v="Yes"/>
    <n v="20"/>
    <n v="15"/>
    <n v="50"/>
  </r>
  <r>
    <n v="3271"/>
    <s v="Fábio Martins"/>
    <x v="2"/>
    <d v="2024-04-06T00:00:00"/>
    <x v="1"/>
    <n v="10"/>
    <x v="0"/>
    <s v="No"/>
    <x v="1"/>
    <s v="Yes"/>
    <n v="20"/>
    <n v="5"/>
    <n v="25"/>
  </r>
  <r>
    <n v="3272"/>
    <s v="Gisele Araújo"/>
    <x v="1"/>
    <d v="2024-04-07T00:00:00"/>
    <x v="0"/>
    <n v="5"/>
    <x v="1"/>
    <s v="No"/>
    <x v="1"/>
    <s v="No"/>
    <n v="0"/>
    <n v="0"/>
    <n v="5"/>
  </r>
  <r>
    <n v="3273"/>
    <s v="Hélio Castro"/>
    <x v="0"/>
    <d v="2024-04-08T00:00:00"/>
    <x v="1"/>
    <n v="15"/>
    <x v="2"/>
    <s v="Yes"/>
    <x v="0"/>
    <s v="Yes"/>
    <n v="20"/>
    <n v="20"/>
    <n v="45"/>
  </r>
  <r>
    <n v="3274"/>
    <s v="Ingrid Menezes"/>
    <x v="2"/>
    <d v="2024-04-09T00:00:00"/>
    <x v="0"/>
    <n v="10"/>
    <x v="2"/>
    <s v="No"/>
    <x v="1"/>
    <s v="Yes"/>
    <n v="20"/>
    <n v="12"/>
    <n v="18"/>
  </r>
  <r>
    <n v="3275"/>
    <s v="Jorge Baptista"/>
    <x v="1"/>
    <d v="2024-04-10T00:00:00"/>
    <x v="1"/>
    <n v="5"/>
    <x v="0"/>
    <s v="No"/>
    <x v="1"/>
    <s v="No"/>
    <n v="0"/>
    <n v="2"/>
    <n v="3"/>
  </r>
  <r>
    <n v="3276"/>
    <s v="Kléber Oliveira"/>
    <x v="0"/>
    <d v="2024-04-11T00:00:00"/>
    <x v="0"/>
    <n v="15"/>
    <x v="1"/>
    <s v="Yes"/>
    <x v="0"/>
    <s v="Yes"/>
    <n v="20"/>
    <n v="5"/>
    <n v="60"/>
  </r>
  <r>
    <n v="3277"/>
    <s v="Luciana Freitas"/>
    <x v="2"/>
    <d v="2024-04-12T00:00:00"/>
    <x v="1"/>
    <n v="10"/>
    <x v="0"/>
    <s v="No"/>
    <x v="1"/>
    <s v="Yes"/>
    <n v="20"/>
    <n v="10"/>
    <n v="20"/>
  </r>
  <r>
    <n v="3278"/>
    <s v="Márcia Eller"/>
    <x v="1"/>
    <d v="2024-04-13T00:00:00"/>
    <x v="0"/>
    <n v="5"/>
    <x v="2"/>
    <s v="No"/>
    <x v="1"/>
    <s v="No"/>
    <n v="0"/>
    <n v="0"/>
    <n v="5"/>
  </r>
  <r>
    <n v="3279"/>
    <s v="Nilo Peçanha"/>
    <x v="0"/>
    <d v="2024-04-14T00:00:00"/>
    <x v="1"/>
    <n v="15"/>
    <x v="0"/>
    <s v="Yes"/>
    <x v="0"/>
    <s v="Yes"/>
    <n v="20"/>
    <n v="3"/>
    <n v="62"/>
  </r>
  <r>
    <n v="3280"/>
    <s v="Oscar Neves"/>
    <x v="2"/>
    <d v="2024-04-15T00:00:00"/>
    <x v="0"/>
    <n v="10"/>
    <x v="1"/>
    <s v="No"/>
    <x v="1"/>
    <s v="Yes"/>
    <n v="20"/>
    <n v="15"/>
    <n v="15"/>
  </r>
  <r>
    <n v="3281"/>
    <s v="Patrícia Soares"/>
    <x v="1"/>
    <d v="2024-04-16T00:00:00"/>
    <x v="1"/>
    <n v="5"/>
    <x v="0"/>
    <s v="No"/>
    <x v="1"/>
    <s v="No"/>
    <n v="0"/>
    <n v="1"/>
    <n v="4"/>
  </r>
  <r>
    <n v="3282"/>
    <s v="Quirino Gonçalves"/>
    <x v="0"/>
    <d v="2024-04-17T00:00:00"/>
    <x v="0"/>
    <n v="15"/>
    <x v="2"/>
    <s v="Yes"/>
    <x v="0"/>
    <s v="Yes"/>
    <n v="20"/>
    <n v="7"/>
    <n v="58"/>
  </r>
  <r>
    <n v="3283"/>
    <s v="Raul Machado"/>
    <x v="2"/>
    <d v="2024-04-18T00:00:00"/>
    <x v="1"/>
    <n v="10"/>
    <x v="0"/>
    <s v="No"/>
    <x v="1"/>
    <s v="Yes"/>
    <n v="20"/>
    <n v="10"/>
    <n v="20"/>
  </r>
  <r>
    <n v="3284"/>
    <s v="Sônia Lobo"/>
    <x v="1"/>
    <d v="2024-04-19T00:00:00"/>
    <x v="0"/>
    <n v="5"/>
    <x v="1"/>
    <s v="No"/>
    <x v="1"/>
    <s v="No"/>
    <n v="0"/>
    <n v="0"/>
    <n v="5"/>
  </r>
  <r>
    <n v="3285"/>
    <s v="Tiago Ramos"/>
    <x v="0"/>
    <d v="2024-04-20T00:00:00"/>
    <x v="1"/>
    <n v="15"/>
    <x v="0"/>
    <s v="Yes"/>
    <x v="0"/>
    <s v="Yes"/>
    <n v="20"/>
    <n v="20"/>
    <n v="45"/>
  </r>
  <r>
    <n v="3286"/>
    <s v="Ugo Pires"/>
    <x v="2"/>
    <d v="2024-04-21T00:00:00"/>
    <x v="0"/>
    <n v="10"/>
    <x v="2"/>
    <s v="No"/>
    <x v="1"/>
    <s v="Yes"/>
    <n v="20"/>
    <n v="15"/>
    <n v="15"/>
  </r>
  <r>
    <n v="3287"/>
    <s v="Valéria Nobre"/>
    <x v="1"/>
    <d v="2024-04-22T00:00:00"/>
    <x v="1"/>
    <n v="5"/>
    <x v="0"/>
    <s v="No"/>
    <x v="1"/>
    <s v="No"/>
    <n v="0"/>
    <n v="1"/>
    <n v="4"/>
  </r>
  <r>
    <n v="3288"/>
    <s v="William Siqueira"/>
    <x v="0"/>
    <d v="2024-04-23T00:00:00"/>
    <x v="0"/>
    <n v="15"/>
    <x v="1"/>
    <s v="Yes"/>
    <x v="0"/>
    <s v="Yes"/>
    <n v="20"/>
    <n v="3"/>
    <n v="62"/>
  </r>
  <r>
    <n v="3289"/>
    <s v="Xuxa Meneghel"/>
    <x v="2"/>
    <d v="2024-04-24T00:00:00"/>
    <x v="1"/>
    <n v="10"/>
    <x v="0"/>
    <s v="No"/>
    <x v="1"/>
    <s v="Yes"/>
    <n v="20"/>
    <n v="10"/>
    <n v="20"/>
  </r>
  <r>
    <n v="3290"/>
    <s v="Yara Figueiredo"/>
    <x v="1"/>
    <d v="2024-04-25T00:00:00"/>
    <x v="0"/>
    <n v="5"/>
    <x v="2"/>
    <s v="No"/>
    <x v="1"/>
    <s v="No"/>
    <n v="0"/>
    <n v="0"/>
    <n v="5"/>
  </r>
  <r>
    <n v="3291"/>
    <s v="Zacarias Alves"/>
    <x v="0"/>
    <d v="2024-04-26T00:00:00"/>
    <x v="1"/>
    <n v="15"/>
    <x v="0"/>
    <s v="Yes"/>
    <x v="0"/>
    <s v="Yes"/>
    <n v="20"/>
    <n v="5"/>
    <n v="60"/>
  </r>
  <r>
    <n v="3292"/>
    <s v="Amanda Bynes"/>
    <x v="2"/>
    <d v="2024-04-27T00:00:00"/>
    <x v="0"/>
    <n v="10"/>
    <x v="1"/>
    <s v="No"/>
    <x v="1"/>
    <s v="Yes"/>
    <n v="20"/>
    <n v="15"/>
    <n v="15"/>
  </r>
  <r>
    <n v="3293"/>
    <s v="Bruno Mars"/>
    <x v="1"/>
    <d v="2024-04-28T00:00:00"/>
    <x v="1"/>
    <n v="5"/>
    <x v="0"/>
    <s v="No"/>
    <x v="1"/>
    <s v="No"/>
    <n v="0"/>
    <n v="1"/>
    <n v="4"/>
  </r>
  <r>
    <n v="3294"/>
    <s v="Carla Bruni"/>
    <x v="0"/>
    <d v="2024-04-29T00:00:00"/>
    <x v="0"/>
    <n v="15"/>
    <x v="2"/>
    <s v="Yes"/>
    <x v="0"/>
    <s v="Yes"/>
    <n v="20"/>
    <n v="20"/>
    <n v="45"/>
  </r>
  <r>
    <n v="3295"/>
    <s v="Diego Maradona"/>
    <x v="2"/>
    <d v="2024-04-30T00:00:00"/>
    <x v="1"/>
    <n v="10"/>
    <x v="0"/>
    <s v="No"/>
    <x v="1"/>
    <s v="Yes"/>
    <n v="20"/>
    <n v="5"/>
    <n v="25"/>
  </r>
  <r>
    <n v="3296"/>
    <s v="Estela Marques"/>
    <x v="1"/>
    <d v="2024-05-01T00:00:00"/>
    <x v="1"/>
    <n v="5"/>
    <x v="0"/>
    <s v="No"/>
    <x v="1"/>
    <s v="No"/>
    <n v="0"/>
    <n v="0"/>
    <n v="5"/>
  </r>
  <r>
    <n v="3297"/>
    <s v="Fábio Nobre"/>
    <x v="0"/>
    <d v="2024-05-02T00:00:00"/>
    <x v="0"/>
    <n v="15"/>
    <x v="2"/>
    <s v="Yes"/>
    <x v="0"/>
    <s v="Yes"/>
    <n v="20"/>
    <n v="7"/>
    <n v="58"/>
  </r>
  <r>
    <n v="3298"/>
    <s v="Gabriel Oliveira"/>
    <x v="2"/>
    <d v="2024-05-03T00:00:00"/>
    <x v="1"/>
    <n v="10"/>
    <x v="1"/>
    <s v="No"/>
    <x v="1"/>
    <s v="Yes"/>
    <n v="20"/>
    <n v="10"/>
    <n v="20"/>
  </r>
  <r>
    <n v="3299"/>
    <s v="Helena Santos"/>
    <x v="1"/>
    <d v="2024-05-04T00:00:00"/>
    <x v="0"/>
    <n v="5"/>
    <x v="2"/>
    <s v="No"/>
    <x v="1"/>
    <s v="No"/>
    <n v="0"/>
    <n v="1"/>
    <n v="4"/>
  </r>
  <r>
    <n v="3300"/>
    <s v="Ivan Carvalho"/>
    <x v="0"/>
    <d v="2024-05-05T00:00:00"/>
    <x v="1"/>
    <n v="15"/>
    <x v="0"/>
    <s v="Yes"/>
    <x v="0"/>
    <s v="Yes"/>
    <n v="20"/>
    <n v="15"/>
    <n v="50"/>
  </r>
  <r>
    <n v="3301"/>
    <s v="Júlia Ferreira"/>
    <x v="2"/>
    <d v="2024-05-06T00:00:00"/>
    <x v="0"/>
    <n v="10"/>
    <x v="0"/>
    <s v="No"/>
    <x v="1"/>
    <s v="Yes"/>
    <n v="20"/>
    <n v="5"/>
    <n v="25"/>
  </r>
  <r>
    <n v="3302"/>
    <s v="Karla Alves"/>
    <x v="1"/>
    <d v="2024-05-07T00:00:00"/>
    <x v="1"/>
    <n v="5"/>
    <x v="1"/>
    <s v="No"/>
    <x v="1"/>
    <s v="No"/>
    <n v="0"/>
    <n v="0"/>
    <n v="5"/>
  </r>
  <r>
    <n v="3303"/>
    <s v="Lucas Mendes"/>
    <x v="0"/>
    <d v="2024-05-08T00:00:00"/>
    <x v="0"/>
    <n v="15"/>
    <x v="2"/>
    <s v="Yes"/>
    <x v="0"/>
    <s v="Yes"/>
    <n v="20"/>
    <n v="20"/>
    <n v="45"/>
  </r>
  <r>
    <n v="3304"/>
    <s v="Mônica Gomes"/>
    <x v="2"/>
    <d v="2024-05-09T00:00:00"/>
    <x v="1"/>
    <n v="10"/>
    <x v="2"/>
    <s v="No"/>
    <x v="1"/>
    <s v="Yes"/>
    <n v="20"/>
    <n v="12"/>
    <n v="18"/>
  </r>
  <r>
    <n v="3305"/>
    <s v="Norberto Queiroz"/>
    <x v="1"/>
    <d v="2024-05-10T00:00:00"/>
    <x v="0"/>
    <n v="5"/>
    <x v="0"/>
    <s v="No"/>
    <x v="1"/>
    <s v="No"/>
    <n v="0"/>
    <n v="2"/>
    <n v="3"/>
  </r>
  <r>
    <n v="3306"/>
    <s v="Otávio Barros"/>
    <x v="0"/>
    <d v="2024-05-11T00:00:00"/>
    <x v="1"/>
    <n v="15"/>
    <x v="1"/>
    <s v="Yes"/>
    <x v="0"/>
    <s v="Yes"/>
    <n v="20"/>
    <n v="5"/>
    <n v="60"/>
  </r>
  <r>
    <n v="3307"/>
    <s v="Paula Vieira"/>
    <x v="2"/>
    <d v="2024-05-12T00:00:00"/>
    <x v="0"/>
    <n v="10"/>
    <x v="0"/>
    <s v="No"/>
    <x v="1"/>
    <s v="Yes"/>
    <n v="20"/>
    <n v="10"/>
    <n v="20"/>
  </r>
  <r>
    <n v="3308"/>
    <s v="Quentin Ramos"/>
    <x v="1"/>
    <d v="2024-05-13T00:00:00"/>
    <x v="1"/>
    <n v="5"/>
    <x v="2"/>
    <s v="No"/>
    <x v="1"/>
    <s v="No"/>
    <n v="0"/>
    <n v="0"/>
    <n v="5"/>
  </r>
  <r>
    <n v="3309"/>
    <s v="Raquel Novaes"/>
    <x v="0"/>
    <d v="2024-05-14T00:00:00"/>
    <x v="0"/>
    <n v="15"/>
    <x v="0"/>
    <s v="Yes"/>
    <x v="0"/>
    <s v="Yes"/>
    <n v="20"/>
    <n v="3"/>
    <n v="62"/>
  </r>
  <r>
    <n v="3310"/>
    <s v="Samantha Lopes"/>
    <x v="2"/>
    <d v="2024-05-15T00:00:00"/>
    <x v="1"/>
    <n v="10"/>
    <x v="1"/>
    <s v="No"/>
    <x v="1"/>
    <s v="Yes"/>
    <n v="20"/>
    <n v="15"/>
    <n v="15"/>
  </r>
  <r>
    <n v="3311"/>
    <s v="Tiago Martins"/>
    <x v="1"/>
    <d v="2024-05-16T00:00:00"/>
    <x v="0"/>
    <n v="5"/>
    <x v="0"/>
    <s v="No"/>
    <x v="1"/>
    <s v="No"/>
    <n v="0"/>
    <n v="1"/>
    <n v="4"/>
  </r>
  <r>
    <n v="3312"/>
    <s v="Ulysses Guimarães"/>
    <x v="0"/>
    <d v="2024-05-17T00:00:00"/>
    <x v="1"/>
    <n v="15"/>
    <x v="2"/>
    <s v="Yes"/>
    <x v="0"/>
    <s v="Yes"/>
    <n v="20"/>
    <n v="7"/>
    <n v="58"/>
  </r>
  <r>
    <n v="3313"/>
    <s v="Vanessa Silva"/>
    <x v="2"/>
    <d v="2024-05-18T00:00:00"/>
    <x v="0"/>
    <n v="10"/>
    <x v="0"/>
    <s v="No"/>
    <x v="1"/>
    <s v="Yes"/>
    <n v="20"/>
    <n v="10"/>
    <n v="20"/>
  </r>
  <r>
    <n v="3314"/>
    <s v="William Carneiro"/>
    <x v="1"/>
    <d v="2024-05-19T00:00:00"/>
    <x v="1"/>
    <n v="5"/>
    <x v="1"/>
    <s v="No"/>
    <x v="1"/>
    <s v="No"/>
    <n v="0"/>
    <n v="0"/>
    <n v="5"/>
  </r>
  <r>
    <n v="3315"/>
    <s v="Ximena Rocha"/>
    <x v="0"/>
    <d v="2024-05-20T00:00:00"/>
    <x v="0"/>
    <n v="15"/>
    <x v="0"/>
    <s v="Yes"/>
    <x v="0"/>
    <s v="Yes"/>
    <n v="20"/>
    <n v="20"/>
    <n v="45"/>
  </r>
  <r>
    <n v="3316"/>
    <s v="Yasmin Figueiredo"/>
    <x v="2"/>
    <d v="2024-05-21T00:00:00"/>
    <x v="1"/>
    <n v="10"/>
    <x v="2"/>
    <s v="No"/>
    <x v="1"/>
    <s v="Yes"/>
    <n v="20"/>
    <n v="15"/>
    <n v="15"/>
  </r>
  <r>
    <n v="3317"/>
    <s v="Zara Cunha"/>
    <x v="1"/>
    <d v="2024-05-22T00:00:00"/>
    <x v="0"/>
    <n v="5"/>
    <x v="0"/>
    <s v="No"/>
    <x v="1"/>
    <s v="No"/>
    <n v="0"/>
    <n v="1"/>
    <n v="4"/>
  </r>
  <r>
    <n v="3318"/>
    <s v="Alan Teixeira"/>
    <x v="0"/>
    <d v="2024-05-23T00:00:00"/>
    <x v="1"/>
    <n v="15"/>
    <x v="1"/>
    <s v="Yes"/>
    <x v="0"/>
    <s v="Yes"/>
    <n v="20"/>
    <n v="3"/>
    <n v="62"/>
  </r>
  <r>
    <n v="3319"/>
    <s v="Bárbara Oliveira"/>
    <x v="2"/>
    <d v="2024-05-24T00:00:00"/>
    <x v="0"/>
    <n v="10"/>
    <x v="0"/>
    <s v="No"/>
    <x v="1"/>
    <s v="Yes"/>
    <n v="20"/>
    <n v="10"/>
    <n v="20"/>
  </r>
  <r>
    <n v="3320"/>
    <s v="Carlos Junqueira"/>
    <x v="1"/>
    <d v="2024-05-25T00:00:00"/>
    <x v="1"/>
    <n v="5"/>
    <x v="2"/>
    <s v="No"/>
    <x v="1"/>
    <s v="No"/>
    <n v="0"/>
    <n v="0"/>
    <n v="5"/>
  </r>
  <r>
    <n v="3321"/>
    <s v="Daniela Moura"/>
    <x v="0"/>
    <d v="2024-05-26T00:00:00"/>
    <x v="0"/>
    <n v="15"/>
    <x v="0"/>
    <s v="Yes"/>
    <x v="0"/>
    <s v="Yes"/>
    <n v="20"/>
    <n v="5"/>
    <n v="60"/>
  </r>
  <r>
    <n v="3322"/>
    <s v="Eduardo Lima"/>
    <x v="2"/>
    <d v="2024-05-27T00:00:00"/>
    <x v="1"/>
    <n v="10"/>
    <x v="1"/>
    <s v="No"/>
    <x v="1"/>
    <s v="Yes"/>
    <n v="20"/>
    <n v="15"/>
    <n v="15"/>
  </r>
  <r>
    <n v="3323"/>
    <s v="Fabiana Araújo"/>
    <x v="1"/>
    <d v="2024-05-28T00:00:00"/>
    <x v="0"/>
    <n v="5"/>
    <x v="0"/>
    <s v="No"/>
    <x v="1"/>
    <s v="No"/>
    <n v="0"/>
    <n v="1"/>
    <n v="4"/>
  </r>
  <r>
    <n v="3324"/>
    <s v="Geraldo Ribeiro"/>
    <x v="0"/>
    <d v="2024-05-29T00:00:00"/>
    <x v="1"/>
    <n v="15"/>
    <x v="2"/>
    <s v="Yes"/>
    <x v="0"/>
    <s v="Yes"/>
    <n v="20"/>
    <n v="20"/>
    <n v="45"/>
  </r>
  <r>
    <n v="3325"/>
    <s v="Héctor Vargas"/>
    <x v="2"/>
    <d v="2024-05-30T00:00:00"/>
    <x v="0"/>
    <n v="10"/>
    <x v="2"/>
    <s v="No"/>
    <x v="1"/>
    <s v="Yes"/>
    <n v="20"/>
    <n v="15"/>
    <n v="15"/>
  </r>
  <r>
    <n v="3326"/>
    <s v="Isabela Fonseca"/>
    <x v="1"/>
    <d v="2024-05-31T00:00:00"/>
    <x v="1"/>
    <n v="5"/>
    <x v="1"/>
    <s v="No"/>
    <x v="1"/>
    <s v="No"/>
    <n v="0"/>
    <n v="0"/>
    <n v="5"/>
  </r>
  <r>
    <n v="3327"/>
    <s v="João Pedro Almeida"/>
    <x v="0"/>
    <d v="2024-06-01T00:00:00"/>
    <x v="0"/>
    <n v="15"/>
    <x v="0"/>
    <s v="Yes"/>
    <x v="0"/>
    <s v="Yes"/>
    <n v="20"/>
    <n v="7"/>
    <n v="58"/>
  </r>
  <r>
    <n v="3328"/>
    <s v="Klara Costa"/>
    <x v="2"/>
    <d v="2024-06-02T00:00:00"/>
    <x v="1"/>
    <n v="10"/>
    <x v="1"/>
    <s v="No"/>
    <x v="1"/>
    <s v="Yes"/>
    <n v="20"/>
    <n v="10"/>
    <n v="20"/>
  </r>
  <r>
    <n v="3329"/>
    <s v="Luciana Mendes"/>
    <x v="1"/>
    <d v="2024-06-03T00:00:00"/>
    <x v="0"/>
    <n v="5"/>
    <x v="2"/>
    <s v="No"/>
    <x v="1"/>
    <s v="No"/>
    <n v="0"/>
    <n v="1"/>
    <n v="4"/>
  </r>
  <r>
    <n v="3330"/>
    <s v="Marcelo Gouveia"/>
    <x v="0"/>
    <d v="2024-06-04T00:00:00"/>
    <x v="1"/>
    <n v="15"/>
    <x v="0"/>
    <s v="Yes"/>
    <x v="0"/>
    <s v="Yes"/>
    <n v="20"/>
    <n v="15"/>
    <n v="50"/>
  </r>
  <r>
    <n v="3331"/>
    <s v="Nívea Borges"/>
    <x v="2"/>
    <d v="2024-06-05T00:00:00"/>
    <x v="0"/>
    <n v="10"/>
    <x v="0"/>
    <s v="No"/>
    <x v="1"/>
    <s v="Yes"/>
    <n v="20"/>
    <n v="5"/>
    <n v="25"/>
  </r>
  <r>
    <n v="3332"/>
    <s v="Oscar Nogueira"/>
    <x v="1"/>
    <d v="2024-06-06T00:00:00"/>
    <x v="1"/>
    <n v="5"/>
    <x v="1"/>
    <s v="No"/>
    <x v="1"/>
    <s v="No"/>
    <n v="0"/>
    <n v="0"/>
    <n v="5"/>
  </r>
  <r>
    <n v="3333"/>
    <s v="Patrícia Alves"/>
    <x v="0"/>
    <d v="2024-06-07T00:00:00"/>
    <x v="0"/>
    <n v="15"/>
    <x v="2"/>
    <s v="Yes"/>
    <x v="0"/>
    <s v="Yes"/>
    <n v="20"/>
    <n v="20"/>
    <n v="45"/>
  </r>
  <r>
    <n v="3334"/>
    <s v="Rafaela Silva"/>
    <x v="2"/>
    <d v="2024-06-08T00:00:00"/>
    <x v="1"/>
    <n v="10"/>
    <x v="2"/>
    <s v="No"/>
    <x v="1"/>
    <s v="Yes"/>
    <n v="20"/>
    <n v="12"/>
    <n v="18"/>
  </r>
  <r>
    <n v="3335"/>
    <s v="Samantha Moraes"/>
    <x v="1"/>
    <d v="2024-06-09T00:00:00"/>
    <x v="0"/>
    <n v="5"/>
    <x v="0"/>
    <s v="No"/>
    <x v="1"/>
    <s v="No"/>
    <n v="0"/>
    <n v="2"/>
    <n v="3"/>
  </r>
  <r>
    <n v="3336"/>
    <s v="Tatiana Rocha"/>
    <x v="1"/>
    <d v="2024-06-10T00:00:00"/>
    <x v="0"/>
    <n v="5"/>
    <x v="0"/>
    <s v="No"/>
    <x v="1"/>
    <s v="No"/>
    <n v="0"/>
    <n v="0"/>
    <n v="5"/>
  </r>
  <r>
    <n v="3337"/>
    <s v="Ulisses Tavares"/>
    <x v="0"/>
    <d v="2024-06-11T00:00:00"/>
    <x v="1"/>
    <n v="15"/>
    <x v="2"/>
    <s v="Yes"/>
    <x v="0"/>
    <s v="Yes"/>
    <n v="20"/>
    <n v="7"/>
    <n v="58"/>
  </r>
  <r>
    <n v="3338"/>
    <s v="Víctor Lemos"/>
    <x v="2"/>
    <d v="2024-06-12T00:00:00"/>
    <x v="0"/>
    <n v="10"/>
    <x v="1"/>
    <s v="No"/>
    <x v="1"/>
    <s v="Yes"/>
    <n v="20"/>
    <n v="10"/>
    <n v="20"/>
  </r>
  <r>
    <n v="3339"/>
    <s v="Wilma Barros"/>
    <x v="1"/>
    <d v="2024-06-13T00:00:00"/>
    <x v="1"/>
    <n v="5"/>
    <x v="2"/>
    <s v="No"/>
    <x v="1"/>
    <s v="No"/>
    <n v="0"/>
    <n v="1"/>
    <n v="4"/>
  </r>
  <r>
    <n v="3340"/>
    <s v="Xavier Nascimento"/>
    <x v="0"/>
    <d v="2024-06-14T00:00:00"/>
    <x v="0"/>
    <n v="15"/>
    <x v="0"/>
    <s v="Yes"/>
    <x v="0"/>
    <s v="Yes"/>
    <n v="20"/>
    <n v="15"/>
    <n v="50"/>
  </r>
  <r>
    <n v="3341"/>
    <s v="Yago Pereira"/>
    <x v="2"/>
    <d v="2024-06-15T00:00:00"/>
    <x v="1"/>
    <n v="10"/>
    <x v="0"/>
    <s v="No"/>
    <x v="1"/>
    <s v="Yes"/>
    <n v="20"/>
    <n v="5"/>
    <n v="25"/>
  </r>
  <r>
    <n v="3342"/>
    <s v="Zilda Ferreira"/>
    <x v="1"/>
    <d v="2024-06-16T00:00:00"/>
    <x v="0"/>
    <n v="5"/>
    <x v="1"/>
    <s v="No"/>
    <x v="1"/>
    <s v="No"/>
    <n v="0"/>
    <n v="0"/>
    <n v="5"/>
  </r>
  <r>
    <n v="3343"/>
    <s v="Amanda Lopes"/>
    <x v="0"/>
    <d v="2024-06-17T00:00:00"/>
    <x v="1"/>
    <n v="15"/>
    <x v="2"/>
    <s v="Yes"/>
    <x v="0"/>
    <s v="Yes"/>
    <n v="20"/>
    <n v="20"/>
    <n v="45"/>
  </r>
  <r>
    <n v="3344"/>
    <s v="Bruno Miranda"/>
    <x v="2"/>
    <d v="2024-06-18T00:00:00"/>
    <x v="0"/>
    <n v="10"/>
    <x v="2"/>
    <s v="No"/>
    <x v="1"/>
    <s v="Yes"/>
    <n v="20"/>
    <n v="12"/>
    <n v="18"/>
  </r>
  <r>
    <n v="3345"/>
    <s v="Célia Torres"/>
    <x v="1"/>
    <d v="2024-06-19T00:00:00"/>
    <x v="1"/>
    <n v="5"/>
    <x v="0"/>
    <s v="No"/>
    <x v="1"/>
    <s v="No"/>
    <n v="0"/>
    <n v="2"/>
    <n v="3"/>
  </r>
  <r>
    <n v="3346"/>
    <s v="Diogo Souza"/>
    <x v="0"/>
    <d v="2024-06-20T00:00:00"/>
    <x v="0"/>
    <n v="15"/>
    <x v="1"/>
    <s v="Yes"/>
    <x v="0"/>
    <s v="Yes"/>
    <n v="20"/>
    <n v="5"/>
    <n v="60"/>
  </r>
  <r>
    <n v="3347"/>
    <s v="Elisa Castro"/>
    <x v="2"/>
    <d v="2024-06-21T00:00:00"/>
    <x v="1"/>
    <n v="10"/>
    <x v="0"/>
    <s v="No"/>
    <x v="1"/>
    <s v="Yes"/>
    <n v="20"/>
    <n v="10"/>
    <n v="20"/>
  </r>
  <r>
    <n v="3348"/>
    <s v="Fátima Lima"/>
    <x v="1"/>
    <d v="2024-06-22T00:00:00"/>
    <x v="0"/>
    <n v="5"/>
    <x v="2"/>
    <s v="No"/>
    <x v="1"/>
    <s v="No"/>
    <n v="0"/>
    <n v="0"/>
    <n v="5"/>
  </r>
  <r>
    <n v="3349"/>
    <s v="Geraldo Ribeiro"/>
    <x v="0"/>
    <d v="2024-06-23T00:00:00"/>
    <x v="1"/>
    <n v="15"/>
    <x v="0"/>
    <s v="Yes"/>
    <x v="0"/>
    <s v="Yes"/>
    <n v="20"/>
    <n v="3"/>
    <n v="62"/>
  </r>
  <r>
    <n v="3350"/>
    <s v="Hélio Martins"/>
    <x v="2"/>
    <d v="2024-06-24T00:00:00"/>
    <x v="0"/>
    <n v="10"/>
    <x v="1"/>
    <s v="No"/>
    <x v="1"/>
    <s v="Yes"/>
    <n v="20"/>
    <n v="15"/>
    <n v="15"/>
  </r>
  <r>
    <n v="3351"/>
    <s v="Íris Santos"/>
    <x v="1"/>
    <d v="2024-06-25T00:00:00"/>
    <x v="1"/>
    <n v="5"/>
    <x v="0"/>
    <s v="No"/>
    <x v="1"/>
    <s v="No"/>
    <n v="0"/>
    <n v="1"/>
    <n v="4"/>
  </r>
  <r>
    <n v="3352"/>
    <s v="João Marcelo"/>
    <x v="0"/>
    <d v="2024-06-26T00:00:00"/>
    <x v="0"/>
    <n v="15"/>
    <x v="2"/>
    <s v="Yes"/>
    <x v="0"/>
    <s v="Yes"/>
    <n v="20"/>
    <n v="7"/>
    <n v="58"/>
  </r>
  <r>
    <n v="3353"/>
    <s v="Larissa Gomes"/>
    <x v="2"/>
    <d v="2024-06-27T00:00:00"/>
    <x v="1"/>
    <n v="10"/>
    <x v="0"/>
    <s v="No"/>
    <x v="1"/>
    <s v="Yes"/>
    <n v="20"/>
    <n v="10"/>
    <n v="20"/>
  </r>
  <r>
    <n v="3354"/>
    <s v="Márcio Silva"/>
    <x v="1"/>
    <d v="2024-06-28T00:00:00"/>
    <x v="0"/>
    <n v="5"/>
    <x v="1"/>
    <s v="No"/>
    <x v="1"/>
    <s v="No"/>
    <n v="0"/>
    <n v="0"/>
    <n v="5"/>
  </r>
  <r>
    <n v="3355"/>
    <s v="Nadia Costa"/>
    <x v="0"/>
    <d v="2024-06-29T00:00:00"/>
    <x v="1"/>
    <n v="15"/>
    <x v="0"/>
    <s v="Yes"/>
    <x v="0"/>
    <s v="Yes"/>
    <n v="20"/>
    <n v="20"/>
    <n v="45"/>
  </r>
  <r>
    <n v="3356"/>
    <s v="Oscar Almeida"/>
    <x v="2"/>
    <d v="2024-06-30T00:00:00"/>
    <x v="0"/>
    <n v="10"/>
    <x v="2"/>
    <s v="No"/>
    <x v="1"/>
    <s v="Yes"/>
    <n v="20"/>
    <n v="15"/>
    <n v="15"/>
  </r>
  <r>
    <n v="3357"/>
    <s v="Patricia Soares"/>
    <x v="1"/>
    <d v="2024-07-01T00:00:00"/>
    <x v="1"/>
    <n v="5"/>
    <x v="0"/>
    <s v="No"/>
    <x v="1"/>
    <s v="No"/>
    <n v="0"/>
    <n v="1"/>
    <n v="4"/>
  </r>
  <r>
    <n v="3358"/>
    <s v="Quênia Barros"/>
    <x v="0"/>
    <d v="2024-07-02T00:00:00"/>
    <x v="0"/>
    <n v="15"/>
    <x v="1"/>
    <s v="Yes"/>
    <x v="0"/>
    <s v="Yes"/>
    <n v="20"/>
    <n v="3"/>
    <n v="62"/>
  </r>
  <r>
    <n v="3359"/>
    <s v="Rafael Torres"/>
    <x v="2"/>
    <d v="2024-07-03T00:00:00"/>
    <x v="1"/>
    <n v="10"/>
    <x v="0"/>
    <s v="No"/>
    <x v="1"/>
    <s v="Yes"/>
    <n v="20"/>
    <n v="10"/>
    <n v="20"/>
  </r>
  <r>
    <n v="3360"/>
    <s v="Silvia Nascimento"/>
    <x v="1"/>
    <d v="2024-07-04T00:00:00"/>
    <x v="0"/>
    <n v="5"/>
    <x v="2"/>
    <s v="No"/>
    <x v="1"/>
    <s v="No"/>
    <n v="0"/>
    <n v="0"/>
    <n v="5"/>
  </r>
  <r>
    <n v="3361"/>
    <s v="Tiago Mendes"/>
    <x v="0"/>
    <d v="2024-07-05T00:00:00"/>
    <x v="1"/>
    <n v="15"/>
    <x v="0"/>
    <s v="Yes"/>
    <x v="0"/>
    <s v="Yes"/>
    <n v="20"/>
    <n v="15"/>
    <n v="50"/>
  </r>
  <r>
    <n v="3362"/>
    <s v="Ursula Silva"/>
    <x v="2"/>
    <d v="2024-07-06T00:00:00"/>
    <x v="0"/>
    <n v="10"/>
    <x v="1"/>
    <s v="No"/>
    <x v="1"/>
    <s v="Yes"/>
    <n v="20"/>
    <n v="15"/>
    <n v="15"/>
  </r>
  <r>
    <n v="3363"/>
    <s v="Vanessa Moraes"/>
    <x v="1"/>
    <d v="2024-07-07T00:00:00"/>
    <x v="1"/>
    <n v="5"/>
    <x v="0"/>
    <s v="No"/>
    <x v="1"/>
    <s v="No"/>
    <n v="0"/>
    <n v="1"/>
    <n v="4"/>
  </r>
  <r>
    <n v="3364"/>
    <s v="Waldir Junior"/>
    <x v="0"/>
    <d v="2024-07-08T00:00:00"/>
    <x v="0"/>
    <n v="15"/>
    <x v="2"/>
    <s v="Yes"/>
    <x v="0"/>
    <s v="Yes"/>
    <n v="20"/>
    <n v="7"/>
    <n v="58"/>
  </r>
  <r>
    <n v="3365"/>
    <s v="Xavier Lopes"/>
    <x v="2"/>
    <d v="2024-07-09T00:00:00"/>
    <x v="1"/>
    <n v="10"/>
    <x v="0"/>
    <s v="No"/>
    <x v="1"/>
    <s v="Yes"/>
    <n v="20"/>
    <n v="10"/>
    <n v="20"/>
  </r>
  <r>
    <n v="3366"/>
    <s v="Yolanda Freitas"/>
    <x v="1"/>
    <d v="2024-07-10T00:00:00"/>
    <x v="0"/>
    <n v="5"/>
    <x v="0"/>
    <s v="No"/>
    <x v="1"/>
    <s v="No"/>
    <n v="0"/>
    <n v="0"/>
    <n v="5"/>
  </r>
  <r>
    <n v="3367"/>
    <s v="Zacarias Nunes"/>
    <x v="0"/>
    <d v="2024-07-11T00:00:00"/>
    <x v="1"/>
    <n v="15"/>
    <x v="2"/>
    <s v="Yes"/>
    <x v="0"/>
    <s v="Yes"/>
    <n v="20"/>
    <n v="7"/>
    <n v="58"/>
  </r>
  <r>
    <n v="3368"/>
    <s v="Ana Clara Barreto"/>
    <x v="2"/>
    <d v="2024-07-12T00:00:00"/>
    <x v="0"/>
    <n v="10"/>
    <x v="1"/>
    <s v="No"/>
    <x v="1"/>
    <s v="Yes"/>
    <n v="20"/>
    <n v="10"/>
    <n v="20"/>
  </r>
  <r>
    <n v="3369"/>
    <s v="Bruno Henrique"/>
    <x v="1"/>
    <d v="2024-07-13T00:00:00"/>
    <x v="1"/>
    <n v="5"/>
    <x v="2"/>
    <s v="No"/>
    <x v="1"/>
    <s v="No"/>
    <n v="0"/>
    <n v="1"/>
    <n v="4"/>
  </r>
  <r>
    <n v="3370"/>
    <s v="Carlos Eduardo"/>
    <x v="0"/>
    <d v="2024-07-14T00:00:00"/>
    <x v="0"/>
    <n v="15"/>
    <x v="0"/>
    <s v="Yes"/>
    <x v="0"/>
    <s v="Yes"/>
    <n v="20"/>
    <n v="15"/>
    <n v="50"/>
  </r>
  <r>
    <n v="3371"/>
    <s v="Débora Lima"/>
    <x v="2"/>
    <d v="2024-07-15T00:00:00"/>
    <x v="1"/>
    <n v="10"/>
    <x v="0"/>
    <s v="No"/>
    <x v="1"/>
    <s v="Yes"/>
    <n v="20"/>
    <n v="5"/>
    <n v="25"/>
  </r>
  <r>
    <n v="3372"/>
    <s v="Elisa Neves"/>
    <x v="1"/>
    <d v="2024-07-16T00:00:00"/>
    <x v="0"/>
    <n v="5"/>
    <x v="1"/>
    <s v="No"/>
    <x v="1"/>
    <s v="No"/>
    <n v="0"/>
    <n v="0"/>
    <n v="5"/>
  </r>
  <r>
    <n v="3373"/>
    <s v="Fabiano Gomes"/>
    <x v="0"/>
    <d v="2024-07-17T00:00:00"/>
    <x v="1"/>
    <n v="15"/>
    <x v="2"/>
    <s v="Yes"/>
    <x v="0"/>
    <s v="Yes"/>
    <n v="20"/>
    <n v="20"/>
    <n v="45"/>
  </r>
  <r>
    <n v="3374"/>
    <s v="Gisele Oliveira"/>
    <x v="2"/>
    <d v="2024-07-18T00:00:00"/>
    <x v="0"/>
    <n v="10"/>
    <x v="2"/>
    <s v="No"/>
    <x v="1"/>
    <s v="Yes"/>
    <n v="20"/>
    <n v="12"/>
    <n v="18"/>
  </r>
  <r>
    <n v="3375"/>
    <s v="Héctor Silva"/>
    <x v="1"/>
    <d v="2024-07-19T00:00:00"/>
    <x v="1"/>
    <n v="5"/>
    <x v="0"/>
    <s v="No"/>
    <x v="1"/>
    <s v="No"/>
    <n v="0"/>
    <n v="2"/>
    <n v="3"/>
  </r>
  <r>
    <n v="3376"/>
    <s v="Igor Martins"/>
    <x v="0"/>
    <d v="2024-07-20T00:00:00"/>
    <x v="0"/>
    <n v="15"/>
    <x v="1"/>
    <s v="Yes"/>
    <x v="0"/>
    <s v="Yes"/>
    <n v="20"/>
    <n v="5"/>
    <n v="60"/>
  </r>
  <r>
    <n v="3377"/>
    <s v="Joana Figueiredo"/>
    <x v="2"/>
    <d v="2024-07-21T00:00:00"/>
    <x v="1"/>
    <n v="10"/>
    <x v="0"/>
    <s v="No"/>
    <x v="1"/>
    <s v="Yes"/>
    <n v="20"/>
    <n v="10"/>
    <n v="20"/>
  </r>
  <r>
    <n v="3378"/>
    <s v="Kleber Machado"/>
    <x v="1"/>
    <d v="2024-07-22T00:00:00"/>
    <x v="0"/>
    <n v="5"/>
    <x v="2"/>
    <s v="No"/>
    <x v="1"/>
    <s v="No"/>
    <n v="0"/>
    <n v="0"/>
    <n v="5"/>
  </r>
  <r>
    <n v="3379"/>
    <s v="Luciana Santos"/>
    <x v="0"/>
    <d v="2024-07-23T00:00:00"/>
    <x v="1"/>
    <n v="15"/>
    <x v="0"/>
    <s v="Yes"/>
    <x v="0"/>
    <s v="Yes"/>
    <n v="20"/>
    <n v="3"/>
    <n v="62"/>
  </r>
  <r>
    <n v="3380"/>
    <s v="Marcos Teixeira"/>
    <x v="2"/>
    <d v="2024-07-24T00:00:00"/>
    <x v="0"/>
    <n v="10"/>
    <x v="1"/>
    <s v="No"/>
    <x v="1"/>
    <s v="Yes"/>
    <n v="20"/>
    <n v="15"/>
    <n v="15"/>
  </r>
  <r>
    <n v="3381"/>
    <s v="Natalia Costa"/>
    <x v="1"/>
    <d v="2024-07-25T00:00:00"/>
    <x v="1"/>
    <n v="5"/>
    <x v="0"/>
    <s v="No"/>
    <x v="1"/>
    <s v="No"/>
    <n v="0"/>
    <n v="1"/>
    <n v="4"/>
  </r>
  <r>
    <n v="3382"/>
    <s v="Oscar Ribeiro"/>
    <x v="0"/>
    <d v="2024-07-26T00:00:00"/>
    <x v="0"/>
    <n v="15"/>
    <x v="2"/>
    <s v="Yes"/>
    <x v="0"/>
    <s v="Yes"/>
    <n v="20"/>
    <n v="7"/>
    <n v="58"/>
  </r>
  <r>
    <n v="3383"/>
    <s v="Patricia Almeida"/>
    <x v="2"/>
    <d v="2024-07-27T00:00:00"/>
    <x v="1"/>
    <n v="10"/>
    <x v="0"/>
    <s v="No"/>
    <x v="1"/>
    <s v="Yes"/>
    <n v="20"/>
    <n v="10"/>
    <n v="20"/>
  </r>
  <r>
    <n v="3384"/>
    <s v="Quirino Junior"/>
    <x v="1"/>
    <d v="2024-07-28T00:00:00"/>
    <x v="0"/>
    <n v="5"/>
    <x v="1"/>
    <s v="No"/>
    <x v="1"/>
    <s v="No"/>
    <n v="0"/>
    <n v="0"/>
    <n v="5"/>
  </r>
  <r>
    <n v="3385"/>
    <s v="Renata Machado"/>
    <x v="0"/>
    <d v="2024-07-29T00:00:00"/>
    <x v="1"/>
    <n v="15"/>
    <x v="0"/>
    <s v="Yes"/>
    <x v="0"/>
    <s v="Yes"/>
    <n v="20"/>
    <n v="20"/>
    <n v="45"/>
  </r>
  <r>
    <n v="3386"/>
    <s v="Sônia Alves"/>
    <x v="2"/>
    <d v="2024-07-30T00:00:00"/>
    <x v="0"/>
    <n v="10"/>
    <x v="2"/>
    <s v="No"/>
    <x v="1"/>
    <s v="Yes"/>
    <n v="20"/>
    <n v="15"/>
    <n v="15"/>
  </r>
  <r>
    <n v="3387"/>
    <s v="Tiago Nunes"/>
    <x v="1"/>
    <d v="2024-07-31T00:00:00"/>
    <x v="1"/>
    <n v="5"/>
    <x v="0"/>
    <s v="No"/>
    <x v="1"/>
    <s v="No"/>
    <n v="0"/>
    <n v="1"/>
    <n v="4"/>
  </r>
  <r>
    <n v="3388"/>
    <s v="Ulysses Pereira"/>
    <x v="0"/>
    <d v="2024-08-01T00:00:00"/>
    <x v="0"/>
    <n v="15"/>
    <x v="1"/>
    <s v="Yes"/>
    <x v="0"/>
    <s v="Yes"/>
    <n v="20"/>
    <n v="3"/>
    <n v="62"/>
  </r>
  <r>
    <n v="3389"/>
    <s v="Vanessa Lima"/>
    <x v="2"/>
    <d v="2024-08-02T00:00:00"/>
    <x v="1"/>
    <n v="10"/>
    <x v="0"/>
    <s v="No"/>
    <x v="1"/>
    <s v="Yes"/>
    <n v="20"/>
    <n v="10"/>
    <n v="20"/>
  </r>
  <r>
    <n v="3390"/>
    <s v="Wagner Santos"/>
    <x v="1"/>
    <d v="2024-08-03T00:00:00"/>
    <x v="0"/>
    <n v="5"/>
    <x v="2"/>
    <s v="No"/>
    <x v="1"/>
    <s v="No"/>
    <n v="0"/>
    <n v="0"/>
    <n v="5"/>
  </r>
  <r>
    <n v="3391"/>
    <s v="Xuxa Meneghel"/>
    <x v="0"/>
    <d v="2024-08-04T00:00:00"/>
    <x v="1"/>
    <n v="15"/>
    <x v="0"/>
    <s v="Yes"/>
    <x v="0"/>
    <s v="Yes"/>
    <n v="20"/>
    <n v="15"/>
    <n v="50"/>
  </r>
  <r>
    <n v="3392"/>
    <s v="Yasmin Silva"/>
    <x v="2"/>
    <d v="2024-08-05T00:00:00"/>
    <x v="0"/>
    <n v="10"/>
    <x v="1"/>
    <s v="No"/>
    <x v="1"/>
    <s v="Yes"/>
    <n v="20"/>
    <n v="15"/>
    <n v="15"/>
  </r>
  <r>
    <n v="3393"/>
    <s v="Zacarias de Souza"/>
    <x v="1"/>
    <d v="2024-08-06T00:00:00"/>
    <x v="1"/>
    <n v="5"/>
    <x v="0"/>
    <s v="No"/>
    <x v="1"/>
    <s v="No"/>
    <n v="0"/>
    <n v="1"/>
    <n v="4"/>
  </r>
  <r>
    <n v="3394"/>
    <s v="André Lima"/>
    <x v="0"/>
    <d v="2024-08-07T00:00:00"/>
    <x v="0"/>
    <n v="15"/>
    <x v="2"/>
    <s v="Yes"/>
    <x v="0"/>
    <s v="Yes"/>
    <n v="20"/>
    <n v="7"/>
    <n v="58"/>
  </r>
  <r>
    <n v="3395"/>
    <s v="Bianca Freitas"/>
    <x v="2"/>
    <d v="2024-08-08T00:00:00"/>
    <x v="1"/>
    <n v="10"/>
    <x v="0"/>
    <s v="No"/>
    <x v="1"/>
    <s v="Yes"/>
    <n v="20"/>
    <n v="10"/>
    <n v="20"/>
  </r>
  <r>
    <n v="3396"/>
    <s v="Caio Mendes"/>
    <x v="1"/>
    <d v="2024-08-09T00:00:00"/>
    <x v="0"/>
    <n v="5"/>
    <x v="1"/>
    <s v="No"/>
    <x v="1"/>
    <s v="No"/>
    <n v="0"/>
    <n v="0"/>
    <n v="5"/>
  </r>
  <r>
    <n v="3397"/>
    <s v="Daniela Moura"/>
    <x v="0"/>
    <d v="2024-08-10T00:00:00"/>
    <x v="1"/>
    <n v="15"/>
    <x v="0"/>
    <s v="Yes"/>
    <x v="0"/>
    <s v="Yes"/>
    <n v="20"/>
    <n v="20"/>
    <n v="45"/>
  </r>
  <r>
    <n v="3398"/>
    <s v="Eduardo Costa"/>
    <x v="2"/>
    <d v="2024-08-11T00:00:00"/>
    <x v="0"/>
    <n v="10"/>
    <x v="2"/>
    <s v="No"/>
    <x v="1"/>
    <s v="Yes"/>
    <n v="20"/>
    <n v="15"/>
    <n v="15"/>
  </r>
  <r>
    <n v="3399"/>
    <s v="Fernanda Gomes"/>
    <x v="1"/>
    <d v="2024-08-12T00:00:00"/>
    <x v="1"/>
    <n v="5"/>
    <x v="0"/>
    <s v="No"/>
    <x v="1"/>
    <s v="No"/>
    <n v="0"/>
    <n v="1"/>
    <n v="4"/>
  </r>
  <r>
    <n v="3400"/>
    <s v="Guilherme Souza"/>
    <x v="0"/>
    <d v="2024-08-13T00:00:00"/>
    <x v="0"/>
    <n v="15"/>
    <x v="1"/>
    <s v="Yes"/>
    <x v="0"/>
    <s v="Yes"/>
    <n v="20"/>
    <n v="5"/>
    <n v="60"/>
  </r>
  <r>
    <n v="3401"/>
    <s v="Helena Ribeiro"/>
    <x v="2"/>
    <d v="2024-08-14T00:00:00"/>
    <x v="1"/>
    <n v="10"/>
    <x v="0"/>
    <s v="No"/>
    <x v="1"/>
    <s v="Yes"/>
    <n v="20"/>
    <n v="10"/>
    <n v="20"/>
  </r>
  <r>
    <n v="3402"/>
    <s v="Igor Santos"/>
    <x v="1"/>
    <d v="2024-08-15T00:00:00"/>
    <x v="0"/>
    <n v="5"/>
    <x v="2"/>
    <s v="No"/>
    <x v="1"/>
    <s v="No"/>
    <n v="0"/>
    <n v="0"/>
    <n v="5"/>
  </r>
  <r>
    <n v="3403"/>
    <s v="João Carvalho"/>
    <x v="0"/>
    <d v="2024-08-16T00:00:00"/>
    <x v="1"/>
    <n v="15"/>
    <x v="0"/>
    <s v="Yes"/>
    <x v="0"/>
    <s v="Yes"/>
    <n v="20"/>
    <n v="3"/>
    <n v="62"/>
  </r>
  <r>
    <n v="3404"/>
    <s v="Klara Fagundes"/>
    <x v="2"/>
    <d v="2024-08-17T00:00:00"/>
    <x v="0"/>
    <n v="10"/>
    <x v="1"/>
    <s v="No"/>
    <x v="1"/>
    <s v="Yes"/>
    <n v="20"/>
    <n v="15"/>
    <n v="15"/>
  </r>
  <r>
    <n v="3405"/>
    <s v="Lúcia Mendonça"/>
    <x v="1"/>
    <d v="2024-08-18T00:00:00"/>
    <x v="1"/>
    <n v="5"/>
    <x v="0"/>
    <s v="No"/>
    <x v="1"/>
    <s v="No"/>
    <n v="0"/>
    <n v="1"/>
    <n v="4"/>
  </r>
  <r>
    <n v="3406"/>
    <s v="Marcelo Novaes"/>
    <x v="1"/>
    <d v="2024-08-19T00:00:00"/>
    <x v="0"/>
    <n v="5"/>
    <x v="0"/>
    <s v="No"/>
    <x v="1"/>
    <s v="No"/>
    <n v="0"/>
    <n v="0"/>
    <n v="5"/>
  </r>
  <r>
    <n v="3407"/>
    <s v="Nina Pacheco"/>
    <x v="0"/>
    <d v="2024-08-20T00:00:00"/>
    <x v="1"/>
    <n v="15"/>
    <x v="2"/>
    <s v="Yes"/>
    <x v="0"/>
    <s v="Yes"/>
    <n v="20"/>
    <n v="7"/>
    <n v="58"/>
  </r>
  <r>
    <n v="3408"/>
    <s v="Olívia Rios"/>
    <x v="2"/>
    <d v="2024-08-21T00:00:00"/>
    <x v="0"/>
    <n v="10"/>
    <x v="1"/>
    <s v="No"/>
    <x v="1"/>
    <s v="Yes"/>
    <n v="20"/>
    <n v="10"/>
    <n v="20"/>
  </r>
  <r>
    <n v="3409"/>
    <s v="Paulo Quintana"/>
    <x v="1"/>
    <d v="2024-08-22T00:00:00"/>
    <x v="1"/>
    <n v="5"/>
    <x v="2"/>
    <s v="No"/>
    <x v="1"/>
    <s v="No"/>
    <n v="0"/>
    <n v="1"/>
    <n v="4"/>
  </r>
  <r>
    <n v="3410"/>
    <s v="Raquel Domingos"/>
    <x v="0"/>
    <d v="2024-08-23T00:00:00"/>
    <x v="0"/>
    <n v="15"/>
    <x v="0"/>
    <s v="Yes"/>
    <x v="0"/>
    <s v="Yes"/>
    <n v="20"/>
    <n v="15"/>
    <n v="50"/>
  </r>
  <r>
    <n v="3411"/>
    <s v="Samuel Viana"/>
    <x v="2"/>
    <d v="2024-08-24T00:00:00"/>
    <x v="1"/>
    <n v="10"/>
    <x v="0"/>
    <s v="No"/>
    <x v="1"/>
    <s v="Yes"/>
    <n v="20"/>
    <n v="5"/>
    <n v="25"/>
  </r>
  <r>
    <n v="3412"/>
    <s v="Tatiane Rocha"/>
    <x v="1"/>
    <d v="2024-08-25T00:00:00"/>
    <x v="0"/>
    <n v="5"/>
    <x v="1"/>
    <s v="No"/>
    <x v="1"/>
    <s v="No"/>
    <n v="0"/>
    <n v="0"/>
    <n v="5"/>
  </r>
  <r>
    <n v="3413"/>
    <s v="Ulysses Farias"/>
    <x v="0"/>
    <d v="2024-08-26T00:00:00"/>
    <x v="1"/>
    <n v="15"/>
    <x v="2"/>
    <s v="Yes"/>
    <x v="0"/>
    <s v="Yes"/>
    <n v="20"/>
    <n v="20"/>
    <n v="45"/>
  </r>
  <r>
    <n v="3414"/>
    <s v="Vanessa Moreira"/>
    <x v="2"/>
    <d v="2024-08-27T00:00:00"/>
    <x v="0"/>
    <n v="10"/>
    <x v="2"/>
    <s v="No"/>
    <x v="1"/>
    <s v="Yes"/>
    <n v="20"/>
    <n v="12"/>
    <n v="18"/>
  </r>
  <r>
    <n v="3415"/>
    <s v="William Carvalho"/>
    <x v="1"/>
    <d v="2024-08-28T00:00:00"/>
    <x v="1"/>
    <n v="5"/>
    <x v="0"/>
    <s v="No"/>
    <x v="1"/>
    <s v="No"/>
    <n v="0"/>
    <n v="2"/>
    <n v="3"/>
  </r>
  <r>
    <n v="3416"/>
    <s v="Ximena Barros"/>
    <x v="0"/>
    <d v="2024-08-29T00:00:00"/>
    <x v="0"/>
    <n v="15"/>
    <x v="1"/>
    <s v="Yes"/>
    <x v="0"/>
    <s v="Yes"/>
    <n v="20"/>
    <n v="5"/>
    <n v="60"/>
  </r>
  <r>
    <n v="3417"/>
    <s v="Yara Machado"/>
    <x v="2"/>
    <d v="2024-08-30T00:00:00"/>
    <x v="1"/>
    <n v="10"/>
    <x v="0"/>
    <s v="No"/>
    <x v="1"/>
    <s v="Yes"/>
    <n v="20"/>
    <n v="10"/>
    <n v="20"/>
  </r>
  <r>
    <n v="3418"/>
    <s v="Zacarias Costa"/>
    <x v="1"/>
    <d v="2024-08-31T00:00:00"/>
    <x v="0"/>
    <n v="5"/>
    <x v="2"/>
    <s v="No"/>
    <x v="1"/>
    <s v="No"/>
    <n v="0"/>
    <n v="0"/>
    <n v="5"/>
  </r>
  <r>
    <n v="3419"/>
    <s v="André Lopes"/>
    <x v="0"/>
    <d v="2024-09-01T00:00:00"/>
    <x v="1"/>
    <n v="15"/>
    <x v="0"/>
    <s v="Yes"/>
    <x v="0"/>
    <s v="Yes"/>
    <n v="20"/>
    <n v="3"/>
    <n v="62"/>
  </r>
  <r>
    <n v="3420"/>
    <s v="Beatriz Souza"/>
    <x v="2"/>
    <d v="2024-09-02T00:00:00"/>
    <x v="0"/>
    <n v="10"/>
    <x v="1"/>
    <s v="No"/>
    <x v="1"/>
    <s v="Yes"/>
    <n v="20"/>
    <n v="15"/>
    <n v="15"/>
  </r>
  <r>
    <n v="3421"/>
    <s v="Caio Pereira"/>
    <x v="1"/>
    <d v="2024-09-03T00:00:00"/>
    <x v="1"/>
    <n v="5"/>
    <x v="0"/>
    <s v="No"/>
    <x v="1"/>
    <s v="No"/>
    <n v="0"/>
    <n v="1"/>
    <n v="4"/>
  </r>
  <r>
    <n v="3422"/>
    <s v="Daniela Araújo"/>
    <x v="0"/>
    <d v="2024-09-04T00:00:00"/>
    <x v="0"/>
    <n v="15"/>
    <x v="2"/>
    <s v="Yes"/>
    <x v="0"/>
    <s v="Yes"/>
    <n v="20"/>
    <n v="7"/>
    <n v="58"/>
  </r>
  <r>
    <n v="3423"/>
    <s v="Eduardo Santos"/>
    <x v="2"/>
    <d v="2024-09-05T00:00:00"/>
    <x v="1"/>
    <n v="10"/>
    <x v="0"/>
    <s v="No"/>
    <x v="1"/>
    <s v="Yes"/>
    <n v="20"/>
    <n v="10"/>
    <n v="20"/>
  </r>
  <r>
    <n v="3424"/>
    <s v="Fernanda Lima"/>
    <x v="1"/>
    <d v="2024-09-06T00:00:00"/>
    <x v="0"/>
    <n v="5"/>
    <x v="1"/>
    <s v="No"/>
    <x v="1"/>
    <s v="No"/>
    <n v="0"/>
    <n v="0"/>
    <n v="5"/>
  </r>
  <r>
    <n v="3425"/>
    <s v="Gabriel Teixeira"/>
    <x v="0"/>
    <d v="2024-09-07T00:00:00"/>
    <x v="1"/>
    <n v="15"/>
    <x v="0"/>
    <s v="Yes"/>
    <x v="0"/>
    <s v="Yes"/>
    <n v="20"/>
    <n v="20"/>
    <n v="45"/>
  </r>
  <r>
    <n v="3426"/>
    <s v="Helena Ribeiro"/>
    <x v="2"/>
    <d v="2024-09-08T00:00:00"/>
    <x v="0"/>
    <n v="10"/>
    <x v="2"/>
    <s v="No"/>
    <x v="1"/>
    <s v="Yes"/>
    <n v="20"/>
    <n v="15"/>
    <n v="15"/>
  </r>
  <r>
    <n v="3427"/>
    <s v="Igor Mendes"/>
    <x v="1"/>
    <d v="2024-09-09T00:00:00"/>
    <x v="1"/>
    <n v="5"/>
    <x v="0"/>
    <s v="No"/>
    <x v="1"/>
    <s v="No"/>
    <n v="0"/>
    <n v="1"/>
    <n v="4"/>
  </r>
  <r>
    <n v="3428"/>
    <s v="Joana Silveira"/>
    <x v="0"/>
    <d v="2024-09-10T00:00:00"/>
    <x v="0"/>
    <n v="15"/>
    <x v="1"/>
    <s v="Yes"/>
    <x v="0"/>
    <s v="Yes"/>
    <n v="20"/>
    <n v="3"/>
    <n v="62"/>
  </r>
  <r>
    <n v="3429"/>
    <s v="Lucas Martins"/>
    <x v="2"/>
    <d v="2024-09-11T00:00:00"/>
    <x v="1"/>
    <n v="10"/>
    <x v="0"/>
    <s v="No"/>
    <x v="1"/>
    <s v="Yes"/>
    <n v="20"/>
    <n v="10"/>
    <n v="20"/>
  </r>
  <r>
    <n v="3430"/>
    <s v="Marcela Gouveia"/>
    <x v="1"/>
    <d v="2024-09-12T00:00:00"/>
    <x v="0"/>
    <n v="5"/>
    <x v="2"/>
    <s v="No"/>
    <x v="1"/>
    <s v="No"/>
    <n v="0"/>
    <n v="0"/>
    <n v="5"/>
  </r>
  <r>
    <n v="3431"/>
    <s v="Nicolas Borges"/>
    <x v="0"/>
    <d v="2024-09-13T00:00:00"/>
    <x v="1"/>
    <n v="15"/>
    <x v="0"/>
    <s v="Yes"/>
    <x v="0"/>
    <s v="Yes"/>
    <n v="20"/>
    <n v="15"/>
    <n v="50"/>
  </r>
  <r>
    <n v="3432"/>
    <s v="Olivia Freitas"/>
    <x v="2"/>
    <d v="2024-09-14T00:00:00"/>
    <x v="0"/>
    <n v="10"/>
    <x v="1"/>
    <s v="No"/>
    <x v="1"/>
    <s v="Yes"/>
    <n v="20"/>
    <n v="15"/>
    <n v="15"/>
  </r>
  <r>
    <n v="3433"/>
    <s v="Paulo Nogueira"/>
    <x v="1"/>
    <d v="2024-09-15T00:00:00"/>
    <x v="1"/>
    <n v="5"/>
    <x v="0"/>
    <s v="No"/>
    <x v="1"/>
    <s v="No"/>
    <n v="0"/>
    <n v="1"/>
    <n v="4"/>
  </r>
  <r>
    <n v="3434"/>
    <s v="Raquel Andrade"/>
    <x v="0"/>
    <d v="2024-09-16T00:00:00"/>
    <x v="0"/>
    <n v="15"/>
    <x v="2"/>
    <s v="Yes"/>
    <x v="0"/>
    <s v="Yes"/>
    <n v="20"/>
    <n v="7"/>
    <n v="58"/>
  </r>
  <r>
    <n v="3435"/>
    <s v="Sônia Carvalho"/>
    <x v="2"/>
    <d v="2024-09-17T00:00:00"/>
    <x v="1"/>
    <n v="10"/>
    <x v="0"/>
    <s v="No"/>
    <x v="1"/>
    <s v="Yes"/>
    <n v="20"/>
    <n v="10"/>
    <n v="20"/>
  </r>
  <r>
    <n v="3436"/>
    <s v="Tiago Rodrigues"/>
    <x v="1"/>
    <d v="2024-09-18T00:00:00"/>
    <x v="0"/>
    <n v="5"/>
    <x v="0"/>
    <s v="No"/>
    <x v="1"/>
    <s v="No"/>
    <n v="0"/>
    <n v="0"/>
    <n v="5"/>
  </r>
  <r>
    <n v="3437"/>
    <s v="Ursula Monteiro"/>
    <x v="0"/>
    <d v="2024-09-19T00:00:00"/>
    <x v="1"/>
    <n v="15"/>
    <x v="2"/>
    <s v="Yes"/>
    <x v="0"/>
    <s v="Yes"/>
    <n v="20"/>
    <n v="7"/>
    <n v="58"/>
  </r>
  <r>
    <n v="3438"/>
    <s v="Vanessa Pereira"/>
    <x v="2"/>
    <d v="2024-09-20T00:00:00"/>
    <x v="0"/>
    <n v="10"/>
    <x v="1"/>
    <s v="No"/>
    <x v="1"/>
    <s v="Yes"/>
    <n v="20"/>
    <n v="10"/>
    <n v="20"/>
  </r>
  <r>
    <n v="3439"/>
    <s v="Walter Silva"/>
    <x v="1"/>
    <d v="2024-09-21T00:00:00"/>
    <x v="1"/>
    <n v="5"/>
    <x v="2"/>
    <s v="No"/>
    <x v="1"/>
    <s v="No"/>
    <n v="0"/>
    <n v="1"/>
    <n v="4"/>
  </r>
  <r>
    <n v="3440"/>
    <s v="Xavier Almeida"/>
    <x v="0"/>
    <d v="2024-09-22T00:00:00"/>
    <x v="0"/>
    <n v="15"/>
    <x v="0"/>
    <s v="Yes"/>
    <x v="0"/>
    <s v="Yes"/>
    <n v="20"/>
    <n v="15"/>
    <n v="50"/>
  </r>
  <r>
    <n v="3441"/>
    <s v="Yasmine Correia"/>
    <x v="2"/>
    <d v="2024-09-23T00:00:00"/>
    <x v="1"/>
    <n v="10"/>
    <x v="0"/>
    <s v="No"/>
    <x v="1"/>
    <s v="Yes"/>
    <n v="20"/>
    <n v="5"/>
    <n v="25"/>
  </r>
  <r>
    <n v="3442"/>
    <s v="Zacarias Almeida"/>
    <x v="1"/>
    <d v="2024-09-24T00:00:00"/>
    <x v="0"/>
    <n v="5"/>
    <x v="1"/>
    <s v="No"/>
    <x v="1"/>
    <s v="No"/>
    <n v="0"/>
    <n v="0"/>
    <n v="5"/>
  </r>
  <r>
    <n v="3443"/>
    <s v="Amanda Costa"/>
    <x v="0"/>
    <d v="2024-09-25T00:00:00"/>
    <x v="1"/>
    <n v="15"/>
    <x v="2"/>
    <s v="Yes"/>
    <x v="0"/>
    <s v="Yes"/>
    <n v="20"/>
    <n v="20"/>
    <n v="45"/>
  </r>
  <r>
    <n v="3444"/>
    <s v="Bruno Ferreira"/>
    <x v="2"/>
    <d v="2024-09-26T00:00:00"/>
    <x v="0"/>
    <n v="10"/>
    <x v="2"/>
    <s v="No"/>
    <x v="1"/>
    <s v="Yes"/>
    <n v="20"/>
    <n v="12"/>
    <n v="18"/>
  </r>
  <r>
    <n v="3445"/>
    <s v="Carla Dias"/>
    <x v="1"/>
    <d v="2024-09-27T00:00:00"/>
    <x v="1"/>
    <n v="5"/>
    <x v="0"/>
    <s v="No"/>
    <x v="1"/>
    <s v="No"/>
    <n v="0"/>
    <n v="2"/>
    <n v="3"/>
  </r>
  <r>
    <n v="3446"/>
    <s v="Diogo Martins"/>
    <x v="0"/>
    <d v="2024-09-28T00:00:00"/>
    <x v="0"/>
    <n v="15"/>
    <x v="1"/>
    <s v="Yes"/>
    <x v="0"/>
    <s v="Yes"/>
    <n v="20"/>
    <n v="5"/>
    <n v="60"/>
  </r>
  <r>
    <n v="3447"/>
    <s v="Elisa Campos"/>
    <x v="2"/>
    <d v="2024-09-29T00:00:00"/>
    <x v="1"/>
    <n v="10"/>
    <x v="0"/>
    <s v="No"/>
    <x v="1"/>
    <s v="Yes"/>
    <n v="20"/>
    <n v="10"/>
    <n v="20"/>
  </r>
  <r>
    <n v="3448"/>
    <s v="Fabiana Lima"/>
    <x v="1"/>
    <d v="2024-09-30T00:00:00"/>
    <x v="0"/>
    <n v="5"/>
    <x v="2"/>
    <s v="No"/>
    <x v="1"/>
    <s v="No"/>
    <n v="0"/>
    <n v="0"/>
    <n v="5"/>
  </r>
  <r>
    <n v="3449"/>
    <s v="Gabriel Santos"/>
    <x v="0"/>
    <d v="2024-10-01T00:00:00"/>
    <x v="1"/>
    <n v="15"/>
    <x v="0"/>
    <s v="Yes"/>
    <x v="0"/>
    <s v="Yes"/>
    <n v="20"/>
    <n v="3"/>
    <n v="62"/>
  </r>
  <r>
    <n v="3450"/>
    <s v="Helena Ferreira"/>
    <x v="2"/>
    <d v="2024-10-02T00:00:00"/>
    <x v="0"/>
    <n v="10"/>
    <x v="1"/>
    <s v="No"/>
    <x v="1"/>
    <s v="Yes"/>
    <n v="20"/>
    <n v="15"/>
    <n v="15"/>
  </r>
  <r>
    <n v="3451"/>
    <s v="Ígor Nunes"/>
    <x v="1"/>
    <d v="2024-10-03T00:00:00"/>
    <x v="1"/>
    <n v="5"/>
    <x v="0"/>
    <s v="No"/>
    <x v="1"/>
    <s v="No"/>
    <n v="0"/>
    <n v="1"/>
    <n v="4"/>
  </r>
  <r>
    <n v="3452"/>
    <s v="Joana Silveira"/>
    <x v="0"/>
    <d v="2024-10-04T00:00:00"/>
    <x v="0"/>
    <n v="15"/>
    <x v="2"/>
    <s v="Yes"/>
    <x v="0"/>
    <s v="Yes"/>
    <n v="20"/>
    <n v="7"/>
    <n v="58"/>
  </r>
  <r>
    <n v="3453"/>
    <s v="Kléber Oliveira"/>
    <x v="2"/>
    <d v="2024-10-05T00:00:00"/>
    <x v="1"/>
    <n v="10"/>
    <x v="0"/>
    <s v="No"/>
    <x v="1"/>
    <s v="Yes"/>
    <n v="20"/>
    <n v="10"/>
    <n v="20"/>
  </r>
  <r>
    <n v="3454"/>
    <s v="Luciana Morais"/>
    <x v="1"/>
    <d v="2024-10-06T00:00:00"/>
    <x v="0"/>
    <n v="5"/>
    <x v="1"/>
    <s v="No"/>
    <x v="1"/>
    <s v="No"/>
    <n v="0"/>
    <n v="0"/>
    <n v="5"/>
  </r>
  <r>
    <n v="3455"/>
    <s v="Marcos Vinícius"/>
    <x v="0"/>
    <d v="2024-10-07T00:00:00"/>
    <x v="1"/>
    <n v="15"/>
    <x v="0"/>
    <s v="Yes"/>
    <x v="0"/>
    <s v="Yes"/>
    <n v="20"/>
    <n v="20"/>
    <n v="45"/>
  </r>
  <r>
    <n v="3456"/>
    <s v="Natália Barros"/>
    <x v="2"/>
    <d v="2024-10-08T00:00:00"/>
    <x v="0"/>
    <n v="10"/>
    <x v="2"/>
    <s v="No"/>
    <x v="1"/>
    <s v="Yes"/>
    <n v="20"/>
    <n v="15"/>
    <n v="15"/>
  </r>
  <r>
    <n v="3457"/>
    <s v="Oscar Sampaio"/>
    <x v="1"/>
    <d v="2024-10-09T00:00:00"/>
    <x v="1"/>
    <n v="5"/>
    <x v="0"/>
    <s v="No"/>
    <x v="1"/>
    <s v="No"/>
    <n v="0"/>
    <n v="1"/>
    <n v="4"/>
  </r>
  <r>
    <n v="3458"/>
    <s v="Patrícia Leite"/>
    <x v="0"/>
    <d v="2024-10-10T00:00:00"/>
    <x v="0"/>
    <n v="15"/>
    <x v="1"/>
    <s v="Yes"/>
    <x v="0"/>
    <s v="Yes"/>
    <n v="20"/>
    <n v="3"/>
    <n v="62"/>
  </r>
  <r>
    <n v="3459"/>
    <s v="Quênia Rocha"/>
    <x v="2"/>
    <d v="2024-10-11T00:00:00"/>
    <x v="1"/>
    <n v="10"/>
    <x v="0"/>
    <s v="No"/>
    <x v="1"/>
    <s v="Yes"/>
    <n v="20"/>
    <n v="10"/>
    <n v="20"/>
  </r>
  <r>
    <n v="3460"/>
    <s v="Rafael Torres"/>
    <x v="1"/>
    <d v="2024-10-12T00:00:00"/>
    <x v="0"/>
    <n v="5"/>
    <x v="2"/>
    <s v="No"/>
    <x v="1"/>
    <s v="No"/>
    <n v="0"/>
    <n v="0"/>
    <n v="5"/>
  </r>
  <r>
    <n v="3461"/>
    <s v="Sandra Gouveia"/>
    <x v="0"/>
    <d v="2024-10-13T00:00:00"/>
    <x v="1"/>
    <n v="15"/>
    <x v="0"/>
    <s v="Yes"/>
    <x v="0"/>
    <s v="Yes"/>
    <n v="20"/>
    <n v="15"/>
    <n v="50"/>
  </r>
  <r>
    <n v="3462"/>
    <s v="Tiago Lacerda"/>
    <x v="2"/>
    <d v="2024-10-14T00:00:00"/>
    <x v="0"/>
    <n v="10"/>
    <x v="1"/>
    <s v="No"/>
    <x v="1"/>
    <s v="Yes"/>
    <n v="20"/>
    <n v="15"/>
    <n v="15"/>
  </r>
  <r>
    <n v="3463"/>
    <s v="Ursula Fonseca"/>
    <x v="1"/>
    <d v="2024-10-15T00:00:00"/>
    <x v="1"/>
    <n v="5"/>
    <x v="0"/>
    <s v="No"/>
    <x v="1"/>
    <s v="No"/>
    <n v="0"/>
    <n v="1"/>
    <n v="4"/>
  </r>
  <r>
    <n v="3464"/>
    <s v="Vanessa Andrade"/>
    <x v="0"/>
    <d v="2024-10-16T00:00:00"/>
    <x v="0"/>
    <n v="15"/>
    <x v="2"/>
    <s v="Yes"/>
    <x v="0"/>
    <s v="Yes"/>
    <n v="20"/>
    <n v="7"/>
    <n v="58"/>
  </r>
  <r>
    <n v="3465"/>
    <s v="William Castro"/>
    <x v="2"/>
    <d v="2024-10-17T00:00:00"/>
    <x v="1"/>
    <n v="10"/>
    <x v="0"/>
    <s v="No"/>
    <x v="1"/>
    <s v="Yes"/>
    <n v="20"/>
    <n v="10"/>
    <n v="20"/>
  </r>
  <r>
    <n v="3466"/>
    <s v="Xavier Monteiro"/>
    <x v="1"/>
    <d v="2024-10-18T00:00:00"/>
    <x v="0"/>
    <n v="5"/>
    <x v="1"/>
    <s v="No"/>
    <x v="1"/>
    <s v="No"/>
    <n v="0"/>
    <n v="0"/>
    <n v="5"/>
  </r>
  <r>
    <n v="3467"/>
    <s v="Yasmin Figueira"/>
    <x v="0"/>
    <d v="2024-10-19T00:00:00"/>
    <x v="1"/>
    <n v="15"/>
    <x v="0"/>
    <s v="Yes"/>
    <x v="0"/>
    <s v="Yes"/>
    <n v="20"/>
    <n v="15"/>
    <n v="50"/>
  </r>
  <r>
    <n v="3468"/>
    <s v="Zacarias Mendonça"/>
    <x v="2"/>
    <d v="2024-10-20T00:00:00"/>
    <x v="0"/>
    <n v="10"/>
    <x v="2"/>
    <s v="No"/>
    <x v="1"/>
    <s v="Yes"/>
    <n v="20"/>
    <n v="12"/>
    <n v="18"/>
  </r>
  <r>
    <n v="3469"/>
    <s v="Amanda Menezes"/>
    <x v="1"/>
    <d v="2024-10-21T00:00:00"/>
    <x v="1"/>
    <n v="5"/>
    <x v="0"/>
    <s v="No"/>
    <x v="1"/>
    <s v="No"/>
    <n v="0"/>
    <n v="2"/>
    <n v="3"/>
  </r>
  <r>
    <n v="3470"/>
    <s v="Bruno Santos"/>
    <x v="0"/>
    <d v="2024-10-22T00:00:00"/>
    <x v="0"/>
    <n v="15"/>
    <x v="1"/>
    <s v="Yes"/>
    <x v="0"/>
    <s v="Yes"/>
    <n v="20"/>
    <n v="5"/>
    <n v="60"/>
  </r>
  <r>
    <n v="3471"/>
    <s v="Carla Ferreira"/>
    <x v="2"/>
    <d v="2024-10-23T00:00:00"/>
    <x v="1"/>
    <n v="10"/>
    <x v="0"/>
    <s v="No"/>
    <x v="1"/>
    <s v="Yes"/>
    <n v="20"/>
    <n v="10"/>
    <n v="20"/>
  </r>
  <r>
    <n v="3472"/>
    <s v="Diogo Alves"/>
    <x v="1"/>
    <d v="2024-10-24T00:00:00"/>
    <x v="0"/>
    <n v="5"/>
    <x v="2"/>
    <s v="No"/>
    <x v="1"/>
    <s v="No"/>
    <n v="0"/>
    <n v="0"/>
    <n v="5"/>
  </r>
  <r>
    <n v="3473"/>
    <s v="Elisa Neves"/>
    <x v="0"/>
    <d v="2024-10-25T00:00:00"/>
    <x v="1"/>
    <n v="15"/>
    <x v="0"/>
    <s v="Yes"/>
    <x v="0"/>
    <s v="Yes"/>
    <n v="20"/>
    <n v="3"/>
    <n v="62"/>
  </r>
  <r>
    <n v="3474"/>
    <s v="Fabiano Pires"/>
    <x v="2"/>
    <d v="2024-10-26T00:00:00"/>
    <x v="0"/>
    <n v="10"/>
    <x v="1"/>
    <s v="No"/>
    <x v="1"/>
    <s v="Yes"/>
    <n v="20"/>
    <n v="15"/>
    <n v="15"/>
  </r>
  <r>
    <n v="3475"/>
    <s v="Giovana Ribeiro"/>
    <x v="1"/>
    <d v="2024-10-27T00:00:00"/>
    <x v="1"/>
    <n v="5"/>
    <x v="0"/>
    <s v="No"/>
    <x v="1"/>
    <s v="No"/>
    <n v="0"/>
    <n v="1"/>
    <n v="4"/>
  </r>
  <r>
    <n v="3476"/>
    <s v="Hélio Costa"/>
    <x v="0"/>
    <d v="2024-10-28T00:00:00"/>
    <x v="0"/>
    <n v="15"/>
    <x v="2"/>
    <s v="Yes"/>
    <x v="0"/>
    <s v="Yes"/>
    <n v="20"/>
    <n v="7"/>
    <n v="58"/>
  </r>
  <r>
    <n v="3477"/>
    <s v="Íris Loureiro"/>
    <x v="2"/>
    <d v="2024-10-29T00:00:00"/>
    <x v="1"/>
    <n v="10"/>
    <x v="0"/>
    <s v="No"/>
    <x v="1"/>
    <s v="Yes"/>
    <n v="20"/>
    <n v="10"/>
    <n v="20"/>
  </r>
  <r>
    <n v="3478"/>
    <s v="João Pereira"/>
    <x v="1"/>
    <d v="2024-10-30T00:00:00"/>
    <x v="0"/>
    <n v="5"/>
    <x v="1"/>
    <s v="No"/>
    <x v="1"/>
    <s v="No"/>
    <n v="0"/>
    <n v="0"/>
    <n v="5"/>
  </r>
  <r>
    <n v="3479"/>
    <s v="Klara Silva"/>
    <x v="0"/>
    <d v="2024-10-31T00:00:00"/>
    <x v="1"/>
    <n v="15"/>
    <x v="0"/>
    <s v="Yes"/>
    <x v="0"/>
    <s v="Yes"/>
    <n v="20"/>
    <n v="20"/>
    <n v="45"/>
  </r>
  <r>
    <n v="3480"/>
    <s v="Luciana Barros"/>
    <x v="2"/>
    <d v="2024-11-01T00:00:00"/>
    <x v="0"/>
    <n v="10"/>
    <x v="2"/>
    <s v="No"/>
    <x v="1"/>
    <s v="Yes"/>
    <n v="20"/>
    <n v="15"/>
    <n v="15"/>
  </r>
  <r>
    <n v="3481"/>
    <s v="Marcos Gomes"/>
    <x v="1"/>
    <d v="2024-11-02T00:00:00"/>
    <x v="1"/>
    <n v="5"/>
    <x v="0"/>
    <s v="No"/>
    <x v="1"/>
    <s v="No"/>
    <n v="0"/>
    <n v="1"/>
    <n v="4"/>
  </r>
  <r>
    <n v="3482"/>
    <s v="Natália Soares"/>
    <x v="0"/>
    <d v="2024-11-03T00:00:00"/>
    <x v="0"/>
    <n v="15"/>
    <x v="1"/>
    <s v="Yes"/>
    <x v="0"/>
    <s v="Yes"/>
    <n v="20"/>
    <n v="3"/>
    <n v="62"/>
  </r>
  <r>
    <n v="3483"/>
    <s v="Oscar Machado"/>
    <x v="2"/>
    <d v="2024-11-04T00:00:00"/>
    <x v="1"/>
    <n v="10"/>
    <x v="0"/>
    <s v="No"/>
    <x v="1"/>
    <s v="Yes"/>
    <n v="20"/>
    <n v="10"/>
    <n v="20"/>
  </r>
  <r>
    <n v="3484"/>
    <s v="Patrícia Lima"/>
    <x v="1"/>
    <d v="2024-11-05T00:00:00"/>
    <x v="0"/>
    <n v="5"/>
    <x v="2"/>
    <s v="No"/>
    <x v="1"/>
    <s v="No"/>
    <n v="0"/>
    <n v="0"/>
    <n v="5"/>
  </r>
  <r>
    <n v="3485"/>
    <s v="Quirino Neto"/>
    <x v="0"/>
    <d v="2024-11-06T00:00:00"/>
    <x v="1"/>
    <n v="15"/>
    <x v="0"/>
    <s v="Yes"/>
    <x v="0"/>
    <s v="Yes"/>
    <n v="20"/>
    <n v="15"/>
    <n v="50"/>
  </r>
  <r>
    <n v="3486"/>
    <s v="Rafaela Souza"/>
    <x v="1"/>
    <d v="2024-11-07T00:00:00"/>
    <x v="0"/>
    <n v="5"/>
    <x v="0"/>
    <s v="No"/>
    <x v="1"/>
    <s v="No"/>
    <n v="0"/>
    <n v="0"/>
    <n v="5"/>
  </r>
  <r>
    <n v="3487"/>
    <s v="Sandro Almeida"/>
    <x v="0"/>
    <d v="2024-11-08T00:00:00"/>
    <x v="1"/>
    <n v="15"/>
    <x v="2"/>
    <s v="Yes"/>
    <x v="0"/>
    <s v="Yes"/>
    <n v="20"/>
    <n v="7"/>
    <n v="58"/>
  </r>
  <r>
    <n v="3488"/>
    <s v="Tânia Ribeiro"/>
    <x v="2"/>
    <d v="2024-11-09T00:00:00"/>
    <x v="0"/>
    <n v="10"/>
    <x v="1"/>
    <s v="No"/>
    <x v="1"/>
    <s v="Yes"/>
    <n v="20"/>
    <n v="10"/>
    <n v="20"/>
  </r>
  <r>
    <n v="3489"/>
    <s v="Ugo Dias"/>
    <x v="1"/>
    <d v="2024-11-10T00:00:00"/>
    <x v="1"/>
    <n v="5"/>
    <x v="2"/>
    <s v="No"/>
    <x v="1"/>
    <s v="No"/>
    <n v="0"/>
    <n v="1"/>
    <n v="4"/>
  </r>
  <r>
    <n v="3490"/>
    <s v="Valéria Lima"/>
    <x v="0"/>
    <d v="2024-11-11T00:00:00"/>
    <x v="0"/>
    <n v="15"/>
    <x v="0"/>
    <s v="Yes"/>
    <x v="0"/>
    <s v="Yes"/>
    <n v="20"/>
    <n v="15"/>
    <n v="50"/>
  </r>
  <r>
    <n v="3491"/>
    <s v="William Fernandes"/>
    <x v="2"/>
    <d v="2024-11-12T00:00:00"/>
    <x v="1"/>
    <n v="10"/>
    <x v="0"/>
    <s v="No"/>
    <x v="1"/>
    <s v="Yes"/>
    <n v="20"/>
    <n v="5"/>
    <n v="25"/>
  </r>
  <r>
    <n v="3492"/>
    <s v="Xuxa Mendes"/>
    <x v="1"/>
    <d v="2024-11-13T00:00:00"/>
    <x v="0"/>
    <n v="5"/>
    <x v="1"/>
    <s v="No"/>
    <x v="1"/>
    <s v="No"/>
    <n v="0"/>
    <n v="0"/>
    <n v="5"/>
  </r>
  <r>
    <n v="3493"/>
    <s v="Ygor Farias"/>
    <x v="0"/>
    <d v="2024-11-14T00:00:00"/>
    <x v="1"/>
    <n v="15"/>
    <x v="2"/>
    <s v="Yes"/>
    <x v="0"/>
    <s v="Yes"/>
    <n v="20"/>
    <n v="20"/>
    <n v="45"/>
  </r>
  <r>
    <n v="3494"/>
    <s v="Zilda Barros"/>
    <x v="2"/>
    <d v="2024-11-15T00:00:00"/>
    <x v="0"/>
    <n v="10"/>
    <x v="2"/>
    <s v="No"/>
    <x v="1"/>
    <s v="Yes"/>
    <n v="20"/>
    <n v="12"/>
    <n v="18"/>
  </r>
  <r>
    <n v="3495"/>
    <s v="Amanda Santos"/>
    <x v="1"/>
    <d v="2024-11-16T00:00:00"/>
    <x v="1"/>
    <n v="5"/>
    <x v="0"/>
    <s v="No"/>
    <x v="1"/>
    <s v="No"/>
    <n v="0"/>
    <n v="2"/>
    <n v="3"/>
  </r>
  <r>
    <n v="3496"/>
    <s v="Bruno Costa"/>
    <x v="0"/>
    <d v="2024-11-17T00:00:00"/>
    <x v="0"/>
    <n v="15"/>
    <x v="1"/>
    <s v="Yes"/>
    <x v="0"/>
    <s v="Yes"/>
    <n v="20"/>
    <n v="5"/>
    <n v="60"/>
  </r>
  <r>
    <n v="3497"/>
    <s v="Carla Rodrigues"/>
    <x v="2"/>
    <d v="2024-11-18T00:00:00"/>
    <x v="1"/>
    <n v="10"/>
    <x v="0"/>
    <s v="No"/>
    <x v="1"/>
    <s v="Yes"/>
    <n v="20"/>
    <n v="10"/>
    <n v="20"/>
  </r>
  <r>
    <n v="3498"/>
    <s v="Diogo Pereira"/>
    <x v="1"/>
    <d v="2024-11-19T00:00:00"/>
    <x v="0"/>
    <n v="5"/>
    <x v="2"/>
    <s v="No"/>
    <x v="1"/>
    <s v="No"/>
    <n v="0"/>
    <n v="0"/>
    <n v="5"/>
  </r>
  <r>
    <n v="3499"/>
    <s v="Elisa Correia"/>
    <x v="0"/>
    <d v="2024-11-20T00:00:00"/>
    <x v="1"/>
    <n v="15"/>
    <x v="0"/>
    <s v="Yes"/>
    <x v="0"/>
    <s v="Yes"/>
    <n v="20"/>
    <n v="3"/>
    <n v="62"/>
  </r>
  <r>
    <n v="3500"/>
    <s v="Fábio Lourenço"/>
    <x v="2"/>
    <d v="2024-11-21T00:00:00"/>
    <x v="0"/>
    <n v="10"/>
    <x v="1"/>
    <s v="No"/>
    <x v="1"/>
    <s v="Yes"/>
    <n v="20"/>
    <n v="15"/>
    <n v="15"/>
  </r>
  <r>
    <n v="3501"/>
    <s v="Gabriela Neves"/>
    <x v="1"/>
    <d v="2024-11-22T00:00:00"/>
    <x v="1"/>
    <n v="5"/>
    <x v="0"/>
    <s v="No"/>
    <x v="1"/>
    <s v="No"/>
    <n v="0"/>
    <n v="1"/>
    <n v="4"/>
  </r>
  <r>
    <n v="3502"/>
    <s v="Henrique Gonçalves"/>
    <x v="0"/>
    <d v="2024-11-23T00:00:00"/>
    <x v="0"/>
    <n v="15"/>
    <x v="2"/>
    <s v="Yes"/>
    <x v="0"/>
    <s v="Yes"/>
    <n v="20"/>
    <n v="7"/>
    <n v="58"/>
  </r>
  <r>
    <n v="3503"/>
    <s v="Íris Santos"/>
    <x v="2"/>
    <d v="2024-11-24T00:00:00"/>
    <x v="1"/>
    <n v="10"/>
    <x v="0"/>
    <s v="No"/>
    <x v="1"/>
    <s v="Yes"/>
    <n v="20"/>
    <n v="10"/>
    <n v="20"/>
  </r>
  <r>
    <n v="3504"/>
    <s v="João Marcelo Alves"/>
    <x v="1"/>
    <d v="2024-11-25T00:00:00"/>
    <x v="0"/>
    <n v="5"/>
    <x v="1"/>
    <s v="No"/>
    <x v="1"/>
    <s v="No"/>
    <n v="0"/>
    <n v="0"/>
    <n v="5"/>
  </r>
  <r>
    <n v="3505"/>
    <s v="Klara Fonseca"/>
    <x v="0"/>
    <d v="2024-11-26T00:00:00"/>
    <x v="1"/>
    <n v="15"/>
    <x v="0"/>
    <s v="Yes"/>
    <x v="0"/>
    <s v="Yes"/>
    <n v="20"/>
    <n v="20"/>
    <n v="45"/>
  </r>
  <r>
    <n v="3506"/>
    <s v="Lucas Mendonça"/>
    <x v="2"/>
    <d v="2024-11-27T00:00:00"/>
    <x v="0"/>
    <n v="10"/>
    <x v="2"/>
    <s v="No"/>
    <x v="1"/>
    <s v="Yes"/>
    <n v="20"/>
    <n v="15"/>
    <n v="15"/>
  </r>
  <r>
    <n v="3507"/>
    <s v="Marcela Torres"/>
    <x v="1"/>
    <d v="2024-11-28T00:00:00"/>
    <x v="1"/>
    <n v="5"/>
    <x v="0"/>
    <s v="No"/>
    <x v="1"/>
    <s v="No"/>
    <n v="0"/>
    <n v="1"/>
    <n v="4"/>
  </r>
  <r>
    <n v="3508"/>
    <s v="Natália Castro"/>
    <x v="0"/>
    <d v="2024-11-29T00:00:00"/>
    <x v="0"/>
    <n v="15"/>
    <x v="1"/>
    <s v="Yes"/>
    <x v="0"/>
    <s v="Yes"/>
    <n v="20"/>
    <n v="3"/>
    <n v="62"/>
  </r>
  <r>
    <n v="3509"/>
    <s v="Oscar Martins"/>
    <x v="2"/>
    <d v="2024-11-30T00:00:00"/>
    <x v="1"/>
    <n v="10"/>
    <x v="0"/>
    <s v="No"/>
    <x v="1"/>
    <s v="Yes"/>
    <n v="20"/>
    <n v="10"/>
    <n v="20"/>
  </r>
  <r>
    <n v="3510"/>
    <s v="Patrícia Oliveira"/>
    <x v="1"/>
    <d v="2024-12-01T00:00:00"/>
    <x v="0"/>
    <n v="5"/>
    <x v="2"/>
    <s v="No"/>
    <x v="1"/>
    <s v="No"/>
    <n v="0"/>
    <n v="0"/>
    <n v="5"/>
  </r>
  <r>
    <n v="3511"/>
    <s v="Quentin Nogueira"/>
    <x v="0"/>
    <d v="2024-12-02T00:00:00"/>
    <x v="1"/>
    <n v="15"/>
    <x v="0"/>
    <s v="Yes"/>
    <x v="0"/>
    <s v="Yes"/>
    <n v="20"/>
    <n v="15"/>
    <n v="50"/>
  </r>
  <r>
    <n v="3512"/>
    <s v="Raquel Silva"/>
    <x v="2"/>
    <d v="2024-12-03T00:00:00"/>
    <x v="0"/>
    <n v="10"/>
    <x v="1"/>
    <s v="No"/>
    <x v="1"/>
    <s v="Yes"/>
    <n v="20"/>
    <n v="15"/>
    <n v="15"/>
  </r>
  <r>
    <n v="3513"/>
    <s v="Sandro Gomes"/>
    <x v="1"/>
    <d v="2024-12-04T00:00:00"/>
    <x v="1"/>
    <n v="5"/>
    <x v="0"/>
    <s v="No"/>
    <x v="1"/>
    <s v="No"/>
    <n v="0"/>
    <n v="1"/>
    <n v="4"/>
  </r>
  <r>
    <n v="3514"/>
    <s v="Tânia Machado"/>
    <x v="0"/>
    <d v="2024-12-05T00:00:00"/>
    <x v="0"/>
    <n v="15"/>
    <x v="2"/>
    <s v="Yes"/>
    <x v="0"/>
    <s v="Yes"/>
    <n v="20"/>
    <n v="7"/>
    <n v="58"/>
  </r>
  <r>
    <n v="3515"/>
    <s v="Ursula Silva"/>
    <x v="2"/>
    <d v="2024-12-06T00:00:00"/>
    <x v="1"/>
    <n v="10"/>
    <x v="0"/>
    <s v="No"/>
    <x v="1"/>
    <s v="Yes"/>
    <n v="20"/>
    <n v="10"/>
    <n v="20"/>
  </r>
  <r>
    <n v="3516"/>
    <s v="Vanessa Moraes"/>
    <x v="1"/>
    <d v="2024-12-07T00:00:00"/>
    <x v="0"/>
    <n v="5"/>
    <x v="1"/>
    <s v="No"/>
    <x v="1"/>
    <s v="No"/>
    <n v="0"/>
    <n v="0"/>
    <n v="5"/>
  </r>
  <r>
    <n v="3517"/>
    <s v="William Carvalho"/>
    <x v="0"/>
    <d v="2024-12-08T00:00:00"/>
    <x v="1"/>
    <n v="15"/>
    <x v="0"/>
    <s v="Yes"/>
    <x v="0"/>
    <s v="Yes"/>
    <n v="20"/>
    <n v="20"/>
    <n v="45"/>
  </r>
  <r>
    <n v="3518"/>
    <s v="Xavier Reis"/>
    <x v="2"/>
    <d v="2024-12-09T00:00:00"/>
    <x v="0"/>
    <n v="10"/>
    <x v="2"/>
    <s v="No"/>
    <x v="1"/>
    <s v="Yes"/>
    <n v="20"/>
    <n v="12"/>
    <n v="18"/>
  </r>
  <r>
    <n v="3519"/>
    <s v="Yasmin Rocha"/>
    <x v="1"/>
    <d v="2024-12-10T00:00:00"/>
    <x v="1"/>
    <n v="5"/>
    <x v="0"/>
    <s v="No"/>
    <x v="1"/>
    <s v="No"/>
    <n v="0"/>
    <n v="2"/>
    <n v="3"/>
  </r>
  <r>
    <n v="3520"/>
    <s v="Zacarias Duarte"/>
    <x v="0"/>
    <d v="2024-12-11T00:00:00"/>
    <x v="0"/>
    <n v="15"/>
    <x v="1"/>
    <s v="Yes"/>
    <x v="0"/>
    <s v="Yes"/>
    <n v="20"/>
    <n v="5"/>
    <n v="60"/>
  </r>
  <r>
    <n v="3521"/>
    <s v="Amanda Freitas"/>
    <x v="2"/>
    <d v="2024-12-12T00:00:00"/>
    <x v="1"/>
    <n v="10"/>
    <x v="0"/>
    <s v="No"/>
    <x v="1"/>
    <s v="Yes"/>
    <n v="20"/>
    <n v="10"/>
    <n v="20"/>
  </r>
  <r>
    <n v="3522"/>
    <s v="Bruno Almeida"/>
    <x v="1"/>
    <d v="2024-12-13T00:00:00"/>
    <x v="0"/>
    <n v="5"/>
    <x v="2"/>
    <s v="No"/>
    <x v="1"/>
    <s v="No"/>
    <n v="0"/>
    <n v="0"/>
    <n v="5"/>
  </r>
  <r>
    <n v="3523"/>
    <s v="Carla Siqueira"/>
    <x v="0"/>
    <d v="2024-12-14T00:00:00"/>
    <x v="1"/>
    <n v="15"/>
    <x v="0"/>
    <s v="Yes"/>
    <x v="0"/>
    <s v="Yes"/>
    <n v="20"/>
    <n v="3"/>
    <n v="62"/>
  </r>
  <r>
    <n v="3524"/>
    <s v="Diogo Ramos"/>
    <x v="2"/>
    <d v="2024-12-15T00:00:00"/>
    <x v="0"/>
    <n v="10"/>
    <x v="1"/>
    <s v="No"/>
    <x v="1"/>
    <s v="Yes"/>
    <n v="20"/>
    <n v="15"/>
    <n v="15"/>
  </r>
  <r>
    <n v="3525"/>
    <s v="Elisa Magalhães"/>
    <x v="1"/>
    <d v="2024-12-16T00:00:00"/>
    <x v="1"/>
    <n v="5"/>
    <x v="0"/>
    <s v="No"/>
    <x v="1"/>
    <s v="No"/>
    <n v="0"/>
    <n v="1"/>
    <n v="4"/>
  </r>
  <r>
    <m/>
    <m/>
    <x v="3"/>
    <m/>
    <x v="2"/>
    <m/>
    <x v="3"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4AF43C-61DB-4665-93B2-170852136554}" name="Tabela dinâmica3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6:B30" firstHeaderRow="1" firstDataRow="1" firstDataCol="1" rowPageCount="1" colPageCount="1"/>
  <pivotFields count="13"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axis="axisPage" multipleItemSelectionAllowed="1" showAll="0">
      <items count="5">
        <item x="1"/>
        <item x="0"/>
        <item x="2"/>
        <item h="1" x="3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formats count="1"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494AEE-35FA-46F6-BA52-C80BC2DD649B}" name="Tabela dinâmica2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7:B21" firstHeaderRow="1" firstDataRow="1" firstDataCol="1" rowPageCount="1" colPageCount="1"/>
  <pivotFields count="13"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axis="axisPage" multipleItemSelectionAllowed="1" showAll="0">
      <items count="5">
        <item x="1"/>
        <item x="0"/>
        <item x="2"/>
        <item h="1" x="3"/>
        <item t="default"/>
      </items>
    </pivotField>
    <pivotField showAll="0"/>
    <pivotField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555ED6-4D00-4972-B9DC-14F4B57FA89C}" name="Tabela dinâmica1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A8:B12" firstHeaderRow="1" firstDataRow="1" firstDataCol="1" rowPageCount="1" colPageCount="1"/>
  <pivotFields count="13">
    <pivotField showAll="0"/>
    <pivotField showAll="0"/>
    <pivotField showAll="0">
      <items count="5">
        <item x="1"/>
        <item x="2"/>
        <item x="0"/>
        <item x="3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showAll="0"/>
    <pivotField axis="axisPage" multipleItemSelectionAllowed="1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165"/>
  </dataFields>
  <formats count="1">
    <format dxfId="9">
      <pivotArea outline="0" collapsedLevelsAreSubtotals="1" fieldPosition="0"/>
    </format>
  </formats>
  <chartFormats count="3"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946B8FEF-1773-4EEA-8CDA-58DB3DC943E4}" sourceName="Subscription Type">
  <pivotTables>
    <pivotTable tabId="3" name="Tabela dinâmica1"/>
  </pivotTables>
  <data>
    <tabular pivotCacheId="1501690117">
      <items count="4">
        <i x="1" s="1"/>
        <i x="0" s="1"/>
        <i x="2" s="1"/>
        <i x="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38B61480-52A8-430C-8A86-D178056E46D5}" cache="SegmentaçãodeDados_Subscription_Type" caption="Subscription Type" style="SlicerStyleLight6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2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22"/>
    <tableColumn id="2" xr3:uid="{53DD39D0-2220-4121-9E9D-4EAA7E151C0F}" name="Name" dataDxfId="21"/>
    <tableColumn id="3" xr3:uid="{4F5FF271-4C57-4BE0-8F2C-F82C8551625C}" name="Plan" dataDxfId="20"/>
    <tableColumn id="4" xr3:uid="{8C17EB93-79B9-4E55-B8F7-BEB82F8253E9}" name="Start Date" dataDxfId="19"/>
    <tableColumn id="5" xr3:uid="{48CEDF9B-1689-482A-A828-5CCE7713264A}" name="Auto Renewal" dataDxfId="18"/>
    <tableColumn id="6" xr3:uid="{78B82374-9AA7-4E38-AE4F-78CDE6C83720}" name="Subscription Price" dataDxfId="17" dataCellStyle="Moeda"/>
    <tableColumn id="7" xr3:uid="{F2433F68-AF33-49D0-B1FB-19A396074EDE}" name="Subscription Type" dataDxfId="16"/>
    <tableColumn id="8" xr3:uid="{FD4D9C95-F6E5-4933-9068-A71FF7DF9343}" name="EA Play Season Pass" dataDxfId="15"/>
    <tableColumn id="13" xr3:uid="{978DD0D2-834E-4CE4-A39B-30976086932F}" name="EA Play Season Pass_x000a_Price" dataDxfId="14" dataCellStyle="Moeda"/>
    <tableColumn id="9" xr3:uid="{6E29F111-C395-4580-9DAD-3407D9E8B1A4}" name="Minecraft Season Pass" dataDxfId="13"/>
    <tableColumn id="10" xr3:uid="{EF544EAA-7F25-4FD5-A10E-8E62804DB9E3}" name="Minecraft Season Pass Price" dataDxfId="12" dataCellStyle="Moeda"/>
    <tableColumn id="11" xr3:uid="{7F6EB64A-1F07-4E48-9F0F-AC7D9DCD26F8}" name="Coupon Value" dataDxfId="11" dataCellStyle="Moeda"/>
    <tableColumn id="12" xr3:uid="{2B04ABC8-DE6F-426E-ADC0-D8AFC68CA58E}" name="Total Value" dataDxfId="1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8" sqref="B8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B5" sqref="B5:B22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3:D30"/>
  <sheetViews>
    <sheetView showGridLines="0" workbookViewId="0">
      <selection activeCell="B8" sqref="B8"/>
    </sheetView>
  </sheetViews>
  <sheetFormatPr defaultRowHeight="14.4" x14ac:dyDescent="0.3"/>
  <cols>
    <col min="1" max="1" width="16.77734375" bestFit="1" customWidth="1"/>
    <col min="2" max="2" width="17.88671875" bestFit="1" customWidth="1"/>
    <col min="3" max="3" width="18.44140625" bestFit="1" customWidth="1"/>
    <col min="4" max="4" width="11.88671875" bestFit="1" customWidth="1"/>
    <col min="5" max="5" width="6.33203125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3" spans="1:2" x14ac:dyDescent="0.3">
      <c r="A3" t="s">
        <v>314</v>
      </c>
    </row>
    <row r="4" spans="1:2" x14ac:dyDescent="0.3">
      <c r="A4" t="s">
        <v>321</v>
      </c>
    </row>
    <row r="6" spans="1:2" x14ac:dyDescent="0.3">
      <c r="A6" s="16" t="s">
        <v>16</v>
      </c>
      <c r="B6" t="s">
        <v>319</v>
      </c>
    </row>
    <row r="8" spans="1:2" x14ac:dyDescent="0.3">
      <c r="A8" s="16" t="s">
        <v>316</v>
      </c>
      <c r="B8" t="s">
        <v>315</v>
      </c>
    </row>
    <row r="9" spans="1:2" x14ac:dyDescent="0.3">
      <c r="A9" s="17" t="s">
        <v>23</v>
      </c>
      <c r="B9" s="18">
        <v>3847</v>
      </c>
    </row>
    <row r="10" spans="1:2" x14ac:dyDescent="0.3">
      <c r="A10" s="17" t="s">
        <v>19</v>
      </c>
      <c r="B10" s="18">
        <v>3786</v>
      </c>
    </row>
    <row r="11" spans="1:2" x14ac:dyDescent="0.3">
      <c r="A11" s="17" t="s">
        <v>317</v>
      </c>
      <c r="B11" s="18"/>
    </row>
    <row r="12" spans="1:2" x14ac:dyDescent="0.3">
      <c r="A12" s="17" t="s">
        <v>318</v>
      </c>
      <c r="B12" s="18">
        <v>7633</v>
      </c>
    </row>
    <row r="13" spans="1:2" x14ac:dyDescent="0.3">
      <c r="A13" s="17" t="s">
        <v>323</v>
      </c>
      <c r="B13" s="18"/>
    </row>
    <row r="15" spans="1:2" x14ac:dyDescent="0.3">
      <c r="A15" s="16" t="s">
        <v>16</v>
      </c>
      <c r="B15" t="s">
        <v>320</v>
      </c>
    </row>
    <row r="17" spans="1:4" x14ac:dyDescent="0.3">
      <c r="A17" s="16" t="s">
        <v>316</v>
      </c>
      <c r="B17" t="s">
        <v>322</v>
      </c>
    </row>
    <row r="18" spans="1:4" x14ac:dyDescent="0.3">
      <c r="A18" s="17" t="s">
        <v>22</v>
      </c>
      <c r="B18" s="15">
        <v>0</v>
      </c>
    </row>
    <row r="19" spans="1:4" x14ac:dyDescent="0.3">
      <c r="A19" s="17" t="s">
        <v>26</v>
      </c>
      <c r="B19" s="15">
        <v>0</v>
      </c>
    </row>
    <row r="20" spans="1:4" x14ac:dyDescent="0.3">
      <c r="A20" s="17" t="s">
        <v>18</v>
      </c>
      <c r="B20" s="15">
        <v>2940</v>
      </c>
    </row>
    <row r="21" spans="1:4" x14ac:dyDescent="0.3">
      <c r="A21" s="17" t="s">
        <v>318</v>
      </c>
      <c r="B21" s="15">
        <v>2940</v>
      </c>
      <c r="D21" s="19">
        <f>GETPIVOTDATA("EA Play Season Pass
Price",$A$17)</f>
        <v>2940</v>
      </c>
    </row>
    <row r="23" spans="1:4" x14ac:dyDescent="0.3">
      <c r="A23" s="17" t="s">
        <v>324</v>
      </c>
    </row>
    <row r="24" spans="1:4" x14ac:dyDescent="0.3">
      <c r="A24" s="16" t="s">
        <v>16</v>
      </c>
      <c r="B24" t="s">
        <v>320</v>
      </c>
    </row>
    <row r="26" spans="1:4" x14ac:dyDescent="0.3">
      <c r="A26" s="16" t="s">
        <v>316</v>
      </c>
      <c r="B26" t="s">
        <v>325</v>
      </c>
    </row>
    <row r="27" spans="1:4" x14ac:dyDescent="0.3">
      <c r="A27" s="17" t="s">
        <v>22</v>
      </c>
      <c r="B27" s="19">
        <v>0</v>
      </c>
    </row>
    <row r="28" spans="1:4" x14ac:dyDescent="0.3">
      <c r="A28" s="17" t="s">
        <v>26</v>
      </c>
      <c r="B28" s="19">
        <v>1920</v>
      </c>
    </row>
    <row r="29" spans="1:4" x14ac:dyDescent="0.3">
      <c r="A29" s="17" t="s">
        <v>18</v>
      </c>
      <c r="B29" s="19">
        <v>1960</v>
      </c>
    </row>
    <row r="30" spans="1:4" x14ac:dyDescent="0.3">
      <c r="A30" s="17" t="s">
        <v>318</v>
      </c>
      <c r="B30" s="19">
        <v>3880</v>
      </c>
      <c r="D30" s="19">
        <f>GETPIVOTDATA("Minecraft Season Pass Price",$A$26)</f>
        <v>3880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CY235"/>
  <sheetViews>
    <sheetView showGridLines="0" showRowColHeaders="0" tabSelected="1" zoomScale="80" zoomScaleNormal="80" workbookViewId="0">
      <selection activeCell="Y11" sqref="Y11"/>
    </sheetView>
  </sheetViews>
  <sheetFormatPr defaultRowHeight="14.4" x14ac:dyDescent="0.3"/>
  <cols>
    <col min="1" max="1" width="27.44140625" style="4" customWidth="1"/>
    <col min="2" max="2" width="3.5546875" customWidth="1"/>
    <col min="12" max="12" width="6.5546875" customWidth="1"/>
  </cols>
  <sheetData>
    <row r="2" spans="2:103" ht="39" customHeight="1" thickBot="1" x14ac:dyDescent="0.6">
      <c r="C2" s="12" t="s">
        <v>313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4"/>
      <c r="S2" s="14"/>
    </row>
    <row r="3" spans="2:103" ht="8.25" customHeight="1" thickTop="1" x14ac:dyDescent="0.3"/>
    <row r="4" spans="2:103" ht="7.5" customHeight="1" x14ac:dyDescent="0.3"/>
    <row r="5" spans="2:103" ht="10.5" customHeight="1" x14ac:dyDescent="0.3"/>
    <row r="6" spans="2:103" ht="9.75" customHeight="1" x14ac:dyDescent="0.3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</row>
    <row r="7" spans="2:103" ht="33" customHeight="1" x14ac:dyDescent="0.3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</row>
    <row r="8" spans="2:103" x14ac:dyDescent="0.3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</row>
    <row r="9" spans="2:103" x14ac:dyDescent="0.3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</row>
    <row r="10" spans="2:103" x14ac:dyDescent="0.3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</row>
    <row r="11" spans="2:103" x14ac:dyDescent="0.3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</row>
    <row r="12" spans="2:103" x14ac:dyDescent="0.3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</row>
    <row r="13" spans="2:103" x14ac:dyDescent="0.3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</row>
    <row r="14" spans="2:103" x14ac:dyDescent="0.3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</row>
    <row r="15" spans="2:103" x14ac:dyDescent="0.3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</row>
    <row r="16" spans="2:103" x14ac:dyDescent="0.3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</row>
    <row r="17" spans="2:103" x14ac:dyDescent="0.3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</row>
    <row r="18" spans="2:103" x14ac:dyDescent="0.3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</row>
    <row r="19" spans="2:103" x14ac:dyDescent="0.3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</row>
    <row r="20" spans="2:103" x14ac:dyDescent="0.3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</row>
    <row r="21" spans="2:103" x14ac:dyDescent="0.3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</row>
    <row r="22" spans="2:103" x14ac:dyDescent="0.3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</row>
    <row r="23" spans="2:103" x14ac:dyDescent="0.3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</row>
    <row r="24" spans="2:103" x14ac:dyDescent="0.3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</row>
    <row r="25" spans="2:103" x14ac:dyDescent="0.3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</row>
    <row r="26" spans="2:103" x14ac:dyDescent="0.3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</row>
    <row r="27" spans="2:103" x14ac:dyDescent="0.3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</row>
    <row r="28" spans="2:103" x14ac:dyDescent="0.3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</row>
    <row r="29" spans="2:103" x14ac:dyDescent="0.3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</row>
    <row r="30" spans="2:103" x14ac:dyDescent="0.3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</row>
    <row r="31" spans="2:103" x14ac:dyDescent="0.3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</row>
    <row r="32" spans="2:103" x14ac:dyDescent="0.3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</row>
    <row r="33" spans="2:103" x14ac:dyDescent="0.3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</row>
    <row r="34" spans="2:103" x14ac:dyDescent="0.3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</row>
    <row r="35" spans="2:103" x14ac:dyDescent="0.3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</row>
    <row r="36" spans="2:103" x14ac:dyDescent="0.3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</row>
    <row r="37" spans="2:103" x14ac:dyDescent="0.3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</row>
    <row r="38" spans="2:103" x14ac:dyDescent="0.3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</row>
    <row r="39" spans="2:103" x14ac:dyDescent="0.3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</row>
    <row r="40" spans="2:103" x14ac:dyDescent="0.3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</row>
    <row r="41" spans="2:103" x14ac:dyDescent="0.3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</row>
    <row r="42" spans="2:103" x14ac:dyDescent="0.3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</row>
    <row r="43" spans="2:103" x14ac:dyDescent="0.3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</row>
    <row r="44" spans="2:103" x14ac:dyDescent="0.3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</row>
    <row r="45" spans="2:103" x14ac:dyDescent="0.3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</row>
    <row r="46" spans="2:103" x14ac:dyDescent="0.3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</row>
    <row r="47" spans="2:103" x14ac:dyDescent="0.3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</row>
    <row r="48" spans="2:103" x14ac:dyDescent="0.3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</row>
    <row r="49" spans="2:103" x14ac:dyDescent="0.3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</row>
    <row r="50" spans="2:103" x14ac:dyDescent="0.3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</row>
    <row r="51" spans="2:103" x14ac:dyDescent="0.3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</row>
    <row r="52" spans="2:103" x14ac:dyDescent="0.3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</row>
    <row r="53" spans="2:103" x14ac:dyDescent="0.3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</row>
    <row r="54" spans="2:103" x14ac:dyDescent="0.3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</row>
    <row r="55" spans="2:103" x14ac:dyDescent="0.3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</row>
    <row r="56" spans="2:103" x14ac:dyDescent="0.3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</row>
    <row r="57" spans="2:103" x14ac:dyDescent="0.3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</row>
    <row r="58" spans="2:103" x14ac:dyDescent="0.3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</row>
    <row r="59" spans="2:103" x14ac:dyDescent="0.3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</row>
    <row r="60" spans="2:103" x14ac:dyDescent="0.3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</row>
    <row r="61" spans="2:103" x14ac:dyDescent="0.3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</row>
    <row r="62" spans="2:103" x14ac:dyDescent="0.3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</row>
    <row r="63" spans="2:103" x14ac:dyDescent="0.3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</row>
    <row r="64" spans="2:103" x14ac:dyDescent="0.3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</row>
    <row r="65" spans="2:103" x14ac:dyDescent="0.3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</row>
    <row r="66" spans="2:103" x14ac:dyDescent="0.3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</row>
    <row r="67" spans="2:103" x14ac:dyDescent="0.3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</row>
    <row r="68" spans="2:103" x14ac:dyDescent="0.3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</row>
    <row r="69" spans="2:103" x14ac:dyDescent="0.3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</row>
    <row r="70" spans="2:103" x14ac:dyDescent="0.3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</row>
    <row r="71" spans="2:103" x14ac:dyDescent="0.3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</row>
    <row r="72" spans="2:103" x14ac:dyDescent="0.3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</row>
    <row r="73" spans="2:103" x14ac:dyDescent="0.3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</row>
    <row r="74" spans="2:103" x14ac:dyDescent="0.3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</row>
    <row r="75" spans="2:103" x14ac:dyDescent="0.3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</row>
    <row r="76" spans="2:103" x14ac:dyDescent="0.3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</row>
    <row r="77" spans="2:103" x14ac:dyDescent="0.3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</row>
    <row r="78" spans="2:103" x14ac:dyDescent="0.3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</row>
    <row r="79" spans="2:103" x14ac:dyDescent="0.3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</row>
    <row r="80" spans="2:103" x14ac:dyDescent="0.3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</row>
    <row r="81" spans="2:103" x14ac:dyDescent="0.3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</row>
    <row r="82" spans="2:103" x14ac:dyDescent="0.3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</row>
    <row r="83" spans="2:103" x14ac:dyDescent="0.3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</row>
    <row r="84" spans="2:103" x14ac:dyDescent="0.3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</row>
    <row r="85" spans="2:103" x14ac:dyDescent="0.3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</row>
    <row r="86" spans="2:103" x14ac:dyDescent="0.3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</row>
    <row r="87" spans="2:103" x14ac:dyDescent="0.3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</row>
    <row r="88" spans="2:103" x14ac:dyDescent="0.3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</row>
    <row r="89" spans="2:103" x14ac:dyDescent="0.3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</row>
    <row r="90" spans="2:103" x14ac:dyDescent="0.3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</row>
    <row r="91" spans="2:103" x14ac:dyDescent="0.3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</row>
    <row r="92" spans="2:103" x14ac:dyDescent="0.3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</row>
    <row r="93" spans="2:103" x14ac:dyDescent="0.3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</row>
    <row r="94" spans="2:103" x14ac:dyDescent="0.3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</row>
    <row r="95" spans="2:103" x14ac:dyDescent="0.3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</row>
    <row r="96" spans="2:103" x14ac:dyDescent="0.3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</row>
    <row r="97" spans="2:103" x14ac:dyDescent="0.3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</row>
    <row r="98" spans="2:103" x14ac:dyDescent="0.3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</row>
    <row r="99" spans="2:103" x14ac:dyDescent="0.3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</row>
    <row r="100" spans="2:103" x14ac:dyDescent="0.3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</row>
    <row r="101" spans="2:103" x14ac:dyDescent="0.3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</row>
    <row r="102" spans="2:103" x14ac:dyDescent="0.3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</row>
    <row r="103" spans="2:103" x14ac:dyDescent="0.3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</row>
    <row r="104" spans="2:103" x14ac:dyDescent="0.3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</row>
    <row r="105" spans="2:103" x14ac:dyDescent="0.3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</row>
    <row r="106" spans="2:103" x14ac:dyDescent="0.3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</row>
    <row r="107" spans="2:103" x14ac:dyDescent="0.3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</row>
    <row r="108" spans="2:103" x14ac:dyDescent="0.3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</row>
    <row r="109" spans="2:103" x14ac:dyDescent="0.3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</row>
    <row r="110" spans="2:103" x14ac:dyDescent="0.3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</row>
    <row r="111" spans="2:103" x14ac:dyDescent="0.3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</row>
    <row r="112" spans="2:103" x14ac:dyDescent="0.3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</row>
    <row r="113" spans="2:103" x14ac:dyDescent="0.3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</row>
    <row r="114" spans="2:103" x14ac:dyDescent="0.3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</row>
    <row r="115" spans="2:103" x14ac:dyDescent="0.3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</row>
    <row r="116" spans="2:103" x14ac:dyDescent="0.3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</row>
    <row r="117" spans="2:103" x14ac:dyDescent="0.3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</row>
    <row r="118" spans="2:103" x14ac:dyDescent="0.3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</row>
    <row r="119" spans="2:103" x14ac:dyDescent="0.3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</row>
    <row r="120" spans="2:103" x14ac:dyDescent="0.3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</row>
    <row r="121" spans="2:103" x14ac:dyDescent="0.3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</row>
    <row r="122" spans="2:103" x14ac:dyDescent="0.3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</row>
    <row r="123" spans="2:103" x14ac:dyDescent="0.3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</row>
    <row r="124" spans="2:103" x14ac:dyDescent="0.3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</row>
    <row r="125" spans="2:103" x14ac:dyDescent="0.3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</row>
    <row r="126" spans="2:103" x14ac:dyDescent="0.3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</row>
    <row r="127" spans="2:103" x14ac:dyDescent="0.3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</row>
    <row r="128" spans="2:103" x14ac:dyDescent="0.3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</row>
    <row r="129" spans="2:103" x14ac:dyDescent="0.3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</row>
    <row r="130" spans="2:103" x14ac:dyDescent="0.3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</row>
    <row r="131" spans="2:103" x14ac:dyDescent="0.3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</row>
    <row r="132" spans="2:103" x14ac:dyDescent="0.3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</row>
    <row r="133" spans="2:103" x14ac:dyDescent="0.3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</row>
    <row r="134" spans="2:103" x14ac:dyDescent="0.3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</row>
    <row r="135" spans="2:103" x14ac:dyDescent="0.3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</row>
    <row r="136" spans="2:103" x14ac:dyDescent="0.3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</row>
    <row r="137" spans="2:103" x14ac:dyDescent="0.3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</row>
    <row r="138" spans="2:103" x14ac:dyDescent="0.3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</row>
    <row r="139" spans="2:103" x14ac:dyDescent="0.3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</row>
    <row r="140" spans="2:103" x14ac:dyDescent="0.3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</row>
    <row r="141" spans="2:103" x14ac:dyDescent="0.3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</row>
    <row r="142" spans="2:103" x14ac:dyDescent="0.3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</row>
    <row r="143" spans="2:103" x14ac:dyDescent="0.3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</row>
    <row r="144" spans="2:103" x14ac:dyDescent="0.3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</row>
    <row r="145" spans="2:103" x14ac:dyDescent="0.3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</row>
    <row r="146" spans="2:103" x14ac:dyDescent="0.3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</row>
    <row r="147" spans="2:103" x14ac:dyDescent="0.3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</row>
    <row r="148" spans="2:103" x14ac:dyDescent="0.3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</row>
    <row r="149" spans="2:103" x14ac:dyDescent="0.3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</row>
    <row r="150" spans="2:103" x14ac:dyDescent="0.3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</row>
    <row r="151" spans="2:103" x14ac:dyDescent="0.3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</row>
    <row r="152" spans="2:103" x14ac:dyDescent="0.3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</row>
    <row r="153" spans="2:103" x14ac:dyDescent="0.3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</row>
    <row r="154" spans="2:103" x14ac:dyDescent="0.3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</row>
    <row r="155" spans="2:103" x14ac:dyDescent="0.3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</row>
    <row r="156" spans="2:103" x14ac:dyDescent="0.3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</row>
    <row r="157" spans="2:103" x14ac:dyDescent="0.3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</row>
    <row r="158" spans="2:103" x14ac:dyDescent="0.3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</row>
    <row r="159" spans="2:103" x14ac:dyDescent="0.3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</row>
    <row r="160" spans="2:103" x14ac:dyDescent="0.3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</row>
    <row r="161" spans="2:103" x14ac:dyDescent="0.3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</row>
    <row r="162" spans="2:103" x14ac:dyDescent="0.3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</row>
    <row r="163" spans="2:103" x14ac:dyDescent="0.3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</row>
    <row r="164" spans="2:103" x14ac:dyDescent="0.3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</row>
    <row r="165" spans="2:103" x14ac:dyDescent="0.3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</row>
    <row r="166" spans="2:103" x14ac:dyDescent="0.3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</row>
    <row r="167" spans="2:103" x14ac:dyDescent="0.3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</row>
    <row r="168" spans="2:103" x14ac:dyDescent="0.3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</row>
    <row r="169" spans="2:103" x14ac:dyDescent="0.3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</row>
    <row r="170" spans="2:103" x14ac:dyDescent="0.3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</row>
    <row r="171" spans="2:103" x14ac:dyDescent="0.3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</row>
    <row r="172" spans="2:103" x14ac:dyDescent="0.3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</row>
    <row r="173" spans="2:103" x14ac:dyDescent="0.3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</row>
    <row r="174" spans="2:103" x14ac:dyDescent="0.3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</row>
    <row r="175" spans="2:103" x14ac:dyDescent="0.3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</row>
    <row r="176" spans="2:103" x14ac:dyDescent="0.3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</row>
    <row r="177" spans="2:103" x14ac:dyDescent="0.3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</row>
    <row r="178" spans="2:103" x14ac:dyDescent="0.3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</row>
    <row r="179" spans="2:103" x14ac:dyDescent="0.3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</row>
    <row r="180" spans="2:103" x14ac:dyDescent="0.3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</row>
    <row r="181" spans="2:103" x14ac:dyDescent="0.3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</row>
    <row r="182" spans="2:103" x14ac:dyDescent="0.3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</row>
    <row r="183" spans="2:103" x14ac:dyDescent="0.3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</row>
    <row r="184" spans="2:103" x14ac:dyDescent="0.3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</row>
    <row r="185" spans="2:103" x14ac:dyDescent="0.3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</row>
    <row r="186" spans="2:103" x14ac:dyDescent="0.3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</row>
    <row r="187" spans="2:103" x14ac:dyDescent="0.3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</row>
    <row r="188" spans="2:103" x14ac:dyDescent="0.3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</row>
    <row r="189" spans="2:103" x14ac:dyDescent="0.3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</row>
    <row r="190" spans="2:103" x14ac:dyDescent="0.3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</row>
    <row r="191" spans="2:103" x14ac:dyDescent="0.3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</row>
    <row r="192" spans="2:103" x14ac:dyDescent="0.3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X192" s="7"/>
      <c r="CY192" s="7"/>
    </row>
    <row r="193" spans="2:103" x14ac:dyDescent="0.3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</row>
    <row r="194" spans="2:103" x14ac:dyDescent="0.3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</row>
    <row r="195" spans="2:103" x14ac:dyDescent="0.3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7"/>
      <c r="CW195" s="7"/>
      <c r="CX195" s="7"/>
      <c r="CY195" s="7"/>
    </row>
    <row r="196" spans="2:103" x14ac:dyDescent="0.3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</row>
    <row r="197" spans="2:103" x14ac:dyDescent="0.3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</row>
    <row r="198" spans="2:103" x14ac:dyDescent="0.3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</row>
    <row r="199" spans="2:103" x14ac:dyDescent="0.3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</row>
    <row r="200" spans="2:103" x14ac:dyDescent="0.3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</row>
    <row r="201" spans="2:103" x14ac:dyDescent="0.3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</row>
    <row r="202" spans="2:103" x14ac:dyDescent="0.3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X202" s="7"/>
      <c r="CY202" s="7"/>
    </row>
    <row r="203" spans="2:103" x14ac:dyDescent="0.3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</row>
    <row r="204" spans="2:103" x14ac:dyDescent="0.3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</row>
    <row r="205" spans="2:103" x14ac:dyDescent="0.3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</row>
    <row r="206" spans="2:103" x14ac:dyDescent="0.3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</row>
    <row r="207" spans="2:103" x14ac:dyDescent="0.3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</row>
    <row r="208" spans="2:103" x14ac:dyDescent="0.3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X208" s="7"/>
      <c r="CY208" s="7"/>
    </row>
    <row r="209" spans="2:103" x14ac:dyDescent="0.3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</row>
    <row r="210" spans="2:103" x14ac:dyDescent="0.3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  <c r="CV210" s="7"/>
      <c r="CW210" s="7"/>
      <c r="CX210" s="7"/>
      <c r="CY210" s="7"/>
    </row>
    <row r="211" spans="2:103" x14ac:dyDescent="0.3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  <c r="CV211" s="7"/>
      <c r="CW211" s="7"/>
      <c r="CX211" s="7"/>
      <c r="CY211" s="7"/>
    </row>
    <row r="212" spans="2:103" x14ac:dyDescent="0.3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  <c r="CV212" s="7"/>
      <c r="CW212" s="7"/>
      <c r="CX212" s="7"/>
      <c r="CY212" s="7"/>
    </row>
    <row r="213" spans="2:103" x14ac:dyDescent="0.3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  <c r="CV213" s="7"/>
      <c r="CW213" s="7"/>
      <c r="CX213" s="7"/>
      <c r="CY213" s="7"/>
    </row>
    <row r="214" spans="2:103" x14ac:dyDescent="0.3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  <c r="CV214" s="7"/>
      <c r="CW214" s="7"/>
      <c r="CX214" s="7"/>
      <c r="CY214" s="7"/>
    </row>
    <row r="215" spans="2:103" x14ac:dyDescent="0.3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  <c r="CV215" s="7"/>
      <c r="CW215" s="7"/>
      <c r="CX215" s="7"/>
      <c r="CY215" s="7"/>
    </row>
    <row r="216" spans="2:103" x14ac:dyDescent="0.3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  <c r="CV216" s="7"/>
      <c r="CW216" s="7"/>
      <c r="CX216" s="7"/>
      <c r="CY216" s="7"/>
    </row>
    <row r="217" spans="2:103" x14ac:dyDescent="0.3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  <c r="CV217" s="7"/>
      <c r="CW217" s="7"/>
      <c r="CX217" s="7"/>
      <c r="CY217" s="7"/>
    </row>
    <row r="218" spans="2:103" x14ac:dyDescent="0.3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  <c r="CT218" s="7"/>
      <c r="CU218" s="7"/>
      <c r="CV218" s="7"/>
      <c r="CW218" s="7"/>
      <c r="CX218" s="7"/>
      <c r="CY218" s="7"/>
    </row>
    <row r="219" spans="2:103" x14ac:dyDescent="0.3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  <c r="CV219" s="7"/>
      <c r="CW219" s="7"/>
      <c r="CX219" s="7"/>
      <c r="CY219" s="7"/>
    </row>
    <row r="220" spans="2:103" x14ac:dyDescent="0.3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7"/>
      <c r="CT220" s="7"/>
      <c r="CU220" s="7"/>
      <c r="CV220" s="7"/>
      <c r="CW220" s="7"/>
      <c r="CX220" s="7"/>
      <c r="CY220" s="7"/>
    </row>
    <row r="221" spans="2:103" x14ac:dyDescent="0.3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7"/>
      <c r="CU221" s="7"/>
      <c r="CV221" s="7"/>
      <c r="CW221" s="7"/>
      <c r="CX221" s="7"/>
      <c r="CY221" s="7"/>
    </row>
    <row r="222" spans="2:103" x14ac:dyDescent="0.3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7"/>
      <c r="CT222" s="7"/>
      <c r="CU222" s="7"/>
      <c r="CV222" s="7"/>
      <c r="CW222" s="7"/>
      <c r="CX222" s="7"/>
      <c r="CY222" s="7"/>
    </row>
    <row r="223" spans="2:103" x14ac:dyDescent="0.3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  <c r="CT223" s="7"/>
      <c r="CU223" s="7"/>
      <c r="CV223" s="7"/>
      <c r="CW223" s="7"/>
      <c r="CX223" s="7"/>
      <c r="CY223" s="7"/>
    </row>
    <row r="224" spans="2:103" x14ac:dyDescent="0.3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7"/>
      <c r="CT224" s="7"/>
      <c r="CU224" s="7"/>
      <c r="CV224" s="7"/>
      <c r="CW224" s="7"/>
      <c r="CX224" s="7"/>
      <c r="CY224" s="7"/>
    </row>
    <row r="225" spans="2:103" x14ac:dyDescent="0.3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7"/>
      <c r="CU225" s="7"/>
      <c r="CV225" s="7"/>
      <c r="CW225" s="7"/>
      <c r="CX225" s="7"/>
      <c r="CY225" s="7"/>
    </row>
    <row r="226" spans="2:103" x14ac:dyDescent="0.3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7"/>
      <c r="CT226" s="7"/>
      <c r="CU226" s="7"/>
      <c r="CV226" s="7"/>
      <c r="CW226" s="7"/>
      <c r="CX226" s="7"/>
      <c r="CY226" s="7"/>
    </row>
    <row r="227" spans="2:103" x14ac:dyDescent="0.3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7"/>
      <c r="CU227" s="7"/>
      <c r="CV227" s="7"/>
      <c r="CW227" s="7"/>
      <c r="CX227" s="7"/>
      <c r="CY227" s="7"/>
    </row>
    <row r="228" spans="2:103" x14ac:dyDescent="0.3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7"/>
      <c r="CU228" s="7"/>
      <c r="CV228" s="7"/>
      <c r="CW228" s="7"/>
      <c r="CX228" s="7"/>
      <c r="CY228" s="7"/>
    </row>
    <row r="229" spans="2:103" x14ac:dyDescent="0.3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</row>
    <row r="230" spans="2:103" x14ac:dyDescent="0.3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7"/>
      <c r="CT230" s="7"/>
      <c r="CU230" s="7"/>
      <c r="CV230" s="7"/>
      <c r="CW230" s="7"/>
      <c r="CX230" s="7"/>
      <c r="CY230" s="7"/>
    </row>
    <row r="231" spans="2:103" x14ac:dyDescent="0.3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</row>
    <row r="232" spans="2:103" x14ac:dyDescent="0.3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7"/>
      <c r="CT232" s="7"/>
      <c r="CU232" s="7"/>
      <c r="CV232" s="7"/>
      <c r="CW232" s="7"/>
      <c r="CX232" s="7"/>
      <c r="CY232" s="7"/>
    </row>
    <row r="233" spans="2:103" x14ac:dyDescent="0.3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</row>
    <row r="234" spans="2:103" x14ac:dyDescent="0.3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7"/>
      <c r="CU234" s="7"/>
      <c r="CV234" s="7"/>
      <c r="CW234" s="7"/>
      <c r="CX234" s="7"/>
      <c r="CY234" s="7"/>
    </row>
    <row r="235" spans="2:103" x14ac:dyDescent="0.3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/>
      <c r="CU235" s="7"/>
      <c r="CV235" s="7"/>
      <c r="CW235" s="7"/>
      <c r="CX235" s="7"/>
      <c r="CY235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Giovana Garcia Rodrigues</cp:lastModifiedBy>
  <dcterms:created xsi:type="dcterms:W3CDTF">2024-12-19T13:13:10Z</dcterms:created>
  <dcterms:modified xsi:type="dcterms:W3CDTF">2026-03-04T13:40:22Z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